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E:\Excel_Projects\Practical Test\"/>
    </mc:Choice>
  </mc:AlternateContent>
  <xr:revisionPtr revIDLastSave="0" documentId="13_ncr:1_{BC21054D-E335-485A-949B-8325F9BEFA5D}" xr6:coauthVersionLast="47" xr6:coauthVersionMax="47" xr10:uidLastSave="{00000000-0000-0000-0000-000000000000}"/>
  <bookViews>
    <workbookView xWindow="-110" yWindow="-110" windowWidth="19420" windowHeight="12220" activeTab="3" xr2:uid="{0EB875C7-DF8F-4AF4-9D68-EEDBEB224C21}"/>
  </bookViews>
  <sheets>
    <sheet name="Data" sheetId="1" r:id="rId1"/>
    <sheet name="Analysis" sheetId="2" r:id="rId2"/>
    <sheet name="Pivot Table" sheetId="3" r:id="rId3"/>
    <sheet name="Dashboard" sheetId="5" r:id="rId4"/>
  </sheets>
  <definedNames>
    <definedName name="Slicer_Category">#N/A</definedName>
    <definedName name="Slicer_City">#N/A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5" l="1"/>
  <c r="N8" i="5"/>
  <c r="K8" i="5"/>
  <c r="H8" i="5"/>
  <c r="E8" i="5"/>
  <c r="H11" i="2"/>
  <c r="B8" i="5"/>
  <c r="K8" i="2"/>
  <c r="H8" i="2"/>
  <c r="K5" i="2"/>
  <c r="H5" i="2"/>
  <c r="K2" i="2"/>
  <c r="H2" i="2"/>
  <c r="E14" i="2"/>
  <c r="B14" i="2"/>
  <c r="E7" i="2"/>
  <c r="B7" i="2"/>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E3" i="2"/>
  <c r="B3" i="2"/>
  <c r="B13" i="2" l="1"/>
  <c r="B12" i="2"/>
  <c r="E13" i="2"/>
  <c r="E12" i="2"/>
</calcChain>
</file>

<file path=xl/sharedStrings.xml><?xml version="1.0" encoding="utf-8"?>
<sst xmlns="http://schemas.openxmlformats.org/spreadsheetml/2006/main" count="8134" uniqueCount="1280">
  <si>
    <t>Telangana</t>
  </si>
  <si>
    <t>Order ID</t>
  </si>
  <si>
    <t>Order Date</t>
  </si>
  <si>
    <t>Customer ID</t>
  </si>
  <si>
    <t>Customer Name</t>
  </si>
  <si>
    <t>City</t>
  </si>
  <si>
    <t>State</t>
  </si>
  <si>
    <t>Product ID</t>
  </si>
  <si>
    <t>Product Name</t>
  </si>
  <si>
    <t>Category</t>
  </si>
  <si>
    <t>Quantity</t>
  </si>
  <si>
    <t>Payment Mode</t>
  </si>
  <si>
    <t>Order Status</t>
  </si>
  <si>
    <t>ORD00001</t>
  </si>
  <si>
    <t>C0170</t>
  </si>
  <si>
    <t>Aarav Shah</t>
  </si>
  <si>
    <t>Indore</t>
  </si>
  <si>
    <t>Madhya Pradesh</t>
  </si>
  <si>
    <t>P1005</t>
  </si>
  <si>
    <t>Smart Watch</t>
  </si>
  <si>
    <t>Electronics</t>
  </si>
  <si>
    <t>Net Banking</t>
  </si>
  <si>
    <t>Completed</t>
  </si>
  <si>
    <t>ORD00002</t>
  </si>
  <si>
    <t>C0015</t>
  </si>
  <si>
    <t>Rohan Verma</t>
  </si>
  <si>
    <t>Ahmedabad</t>
  </si>
  <si>
    <t>Gujarat</t>
  </si>
  <si>
    <t>P1019</t>
  </si>
  <si>
    <t>Hair Dryer</t>
  </si>
  <si>
    <t>Beauty</t>
  </si>
  <si>
    <t>ORD00003</t>
  </si>
  <si>
    <t>C0153</t>
  </si>
  <si>
    <t>Kiara Nair</t>
  </si>
  <si>
    <t>Vadodara</t>
  </si>
  <si>
    <t>P1008</t>
  </si>
  <si>
    <t>Backpack</t>
  </si>
  <si>
    <t>Fashion</t>
  </si>
  <si>
    <t>ORD00004</t>
  </si>
  <si>
    <t>C0169</t>
  </si>
  <si>
    <t>Dev Prajapati</t>
  </si>
  <si>
    <t>Bhopal</t>
  </si>
  <si>
    <t>P1011</t>
  </si>
  <si>
    <t>Desk Lamp</t>
  </si>
  <si>
    <t>Home &amp; Kitchen</t>
  </si>
  <si>
    <t>Credit Card</t>
  </si>
  <si>
    <t>ORD00005</t>
  </si>
  <si>
    <t>C0166</t>
  </si>
  <si>
    <t>Aditya Iyer</t>
  </si>
  <si>
    <t>Delhi</t>
  </si>
  <si>
    <t>P1015</t>
  </si>
  <si>
    <t>Study Desk</t>
  </si>
  <si>
    <t>Furniture</t>
  </si>
  <si>
    <t>Returned</t>
  </si>
  <si>
    <t>ORD00006</t>
  </si>
  <si>
    <t>C0055</t>
  </si>
  <si>
    <t>Dhruv Sharma</t>
  </si>
  <si>
    <t>P1009</t>
  </si>
  <si>
    <t>Water Bottle</t>
  </si>
  <si>
    <t>Debit Card</t>
  </si>
  <si>
    <t>ORD00007</t>
  </si>
  <si>
    <t>C0078</t>
  </si>
  <si>
    <t>Vivaan Prajapati</t>
  </si>
  <si>
    <t>P1001</t>
  </si>
  <si>
    <t>Wireless Mouse</t>
  </si>
  <si>
    <t>ORD00008</t>
  </si>
  <si>
    <t>C0040</t>
  </si>
  <si>
    <t>Ishaan Prajapati</t>
  </si>
  <si>
    <t>Udaipur</t>
  </si>
  <si>
    <t>Rajasthan</t>
  </si>
  <si>
    <t>P1010</t>
  </si>
  <si>
    <t>Coffee Maker</t>
  </si>
  <si>
    <t>ORD00009</t>
  </si>
  <si>
    <t>C0024</t>
  </si>
  <si>
    <t>Aadhya Shah</t>
  </si>
  <si>
    <t>Chennai</t>
  </si>
  <si>
    <t>Tamil Nadu</t>
  </si>
  <si>
    <t>ORD00010</t>
  </si>
  <si>
    <t>C0110</t>
  </si>
  <si>
    <t>Kiara Trivedi</t>
  </si>
  <si>
    <t>Lucknow</t>
  </si>
  <si>
    <t>Uttar Pradesh</t>
  </si>
  <si>
    <t>ORD00011</t>
  </si>
  <si>
    <t>C0142</t>
  </si>
  <si>
    <t>Krishna Desai</t>
  </si>
  <si>
    <t>Mumbai</t>
  </si>
  <si>
    <t>Maharashtra</t>
  </si>
  <si>
    <t>P1014</t>
  </si>
  <si>
    <t>Office Chair</t>
  </si>
  <si>
    <t>UPI</t>
  </si>
  <si>
    <t>Cancelled</t>
  </si>
  <si>
    <t>ORD00012</t>
  </si>
  <si>
    <t>C0064</t>
  </si>
  <si>
    <t>Rohan Reddy</t>
  </si>
  <si>
    <t>Rajkot</t>
  </si>
  <si>
    <t>P1012</t>
  </si>
  <si>
    <t>Notebook Set</t>
  </si>
  <si>
    <t>Stationery</t>
  </si>
  <si>
    <t>ORD00013</t>
  </si>
  <si>
    <t>C0007</t>
  </si>
  <si>
    <t>Dev Shah</t>
  </si>
  <si>
    <t>Pune</t>
  </si>
  <si>
    <t>ORD00014</t>
  </si>
  <si>
    <t>C0098</t>
  </si>
  <si>
    <t>Krishna Rao</t>
  </si>
  <si>
    <t>P1016</t>
  </si>
  <si>
    <t>Yoga Mat</t>
  </si>
  <si>
    <t>Sports</t>
  </si>
  <si>
    <t>ORD00015</t>
  </si>
  <si>
    <t>C0103</t>
  </si>
  <si>
    <t>Meera Desai</t>
  </si>
  <si>
    <t>Bengaluru</t>
  </si>
  <si>
    <t>Karnataka</t>
  </si>
  <si>
    <t>Cash</t>
  </si>
  <si>
    <t>ORD00016</t>
  </si>
  <si>
    <t>C0008</t>
  </si>
  <si>
    <t>Kavya Nair</t>
  </si>
  <si>
    <t>ORD00017</t>
  </si>
  <si>
    <t>C0112</t>
  </si>
  <si>
    <t>Vivaan Desai</t>
  </si>
  <si>
    <t>P1004</t>
  </si>
  <si>
    <t>USB-C Hub</t>
  </si>
  <si>
    <t>ORD00018</t>
  </si>
  <si>
    <t>C0172</t>
  </si>
  <si>
    <t>Sara Iyer</t>
  </si>
  <si>
    <t>ORD00019</t>
  </si>
  <si>
    <t>C0130</t>
  </si>
  <si>
    <t>Krishna Iyer</t>
  </si>
  <si>
    <t>ORD00020</t>
  </si>
  <si>
    <t>C0174</t>
  </si>
  <si>
    <t>Myra Trivedi</t>
  </si>
  <si>
    <t>P1020</t>
  </si>
  <si>
    <t>Lunch Box</t>
  </si>
  <si>
    <t>ORD00021</t>
  </si>
  <si>
    <t>C0156</t>
  </si>
  <si>
    <t>Nisha Kumar</t>
  </si>
  <si>
    <t>Pending</t>
  </si>
  <si>
    <t>ORD00022</t>
  </si>
  <si>
    <t>ORD00023</t>
  </si>
  <si>
    <t>C0012</t>
  </si>
  <si>
    <t>Meera Patel</t>
  </si>
  <si>
    <t>Jaipur</t>
  </si>
  <si>
    <t>ORD00024</t>
  </si>
  <si>
    <t>C0127</t>
  </si>
  <si>
    <t>Diya Nair</t>
  </si>
  <si>
    <t>Hyderabad</t>
  </si>
  <si>
    <t>ORD00025</t>
  </si>
  <si>
    <t>C0179</t>
  </si>
  <si>
    <t>Sara Sharma</t>
  </si>
  <si>
    <t>ORD00026</t>
  </si>
  <si>
    <t>C0136</t>
  </si>
  <si>
    <t>Ishaan Patel</t>
  </si>
  <si>
    <t>ORD00027</t>
  </si>
  <si>
    <t>C0041</t>
  </si>
  <si>
    <t>Vihaan Nair</t>
  </si>
  <si>
    <t>ORD00028</t>
  </si>
  <si>
    <t>C0113</t>
  </si>
  <si>
    <t>Kavya Shah</t>
  </si>
  <si>
    <t>ORD00029</t>
  </si>
  <si>
    <t>C0099</t>
  </si>
  <si>
    <t>Sai Verma</t>
  </si>
  <si>
    <t>P1007</t>
  </si>
  <si>
    <t>Running Shoes</t>
  </si>
  <si>
    <t>ORD00030</t>
  </si>
  <si>
    <t>C0100</t>
  </si>
  <si>
    <t>Vihaan Prajapati</t>
  </si>
  <si>
    <t>Surat</t>
  </si>
  <si>
    <t>ORD00031</t>
  </si>
  <si>
    <t>C0140</t>
  </si>
  <si>
    <t>ORD00032</t>
  </si>
  <si>
    <t>C0043</t>
  </si>
  <si>
    <t>Dhruv Prajapati</t>
  </si>
  <si>
    <t>Kochi</t>
  </si>
  <si>
    <t>Kerala</t>
  </si>
  <si>
    <t>ORD00033</t>
  </si>
  <si>
    <t>C0119</t>
  </si>
  <si>
    <t>Nisha Iyer</t>
  </si>
  <si>
    <t>P1002</t>
  </si>
  <si>
    <t>Mechanical Keyboard</t>
  </si>
  <si>
    <t>ORD00034</t>
  </si>
  <si>
    <t>C0108</t>
  </si>
  <si>
    <t>Aadhya Iyer</t>
  </si>
  <si>
    <t>P1003</t>
  </si>
  <si>
    <t>Bluetooth Speaker</t>
  </si>
  <si>
    <t>ORD00035</t>
  </si>
  <si>
    <t>C0011</t>
  </si>
  <si>
    <t>Ishaan Verma</t>
  </si>
  <si>
    <t>ORD00036</t>
  </si>
  <si>
    <t>C0056</t>
  </si>
  <si>
    <t>Dev Desai</t>
  </si>
  <si>
    <t>ORD00037</t>
  </si>
  <si>
    <t>C0028</t>
  </si>
  <si>
    <t>Anaya Rao</t>
  </si>
  <si>
    <t>ORD00038</t>
  </si>
  <si>
    <t>C0027</t>
  </si>
  <si>
    <t>Kiara Singh</t>
  </si>
  <si>
    <t>ORD00039</t>
  </si>
  <si>
    <t>ORD00040</t>
  </si>
  <si>
    <t>P1006</t>
  </si>
  <si>
    <t>Cotton T-Shirt</t>
  </si>
  <si>
    <t>ORD00041</t>
  </si>
  <si>
    <t>C0069</t>
  </si>
  <si>
    <t>Arjun Desai</t>
  </si>
  <si>
    <t>ORD00042</t>
  </si>
  <si>
    <t>C0087</t>
  </si>
  <si>
    <t>Aarav Kumar</t>
  </si>
  <si>
    <t>ORD00043</t>
  </si>
  <si>
    <t>C0071</t>
  </si>
  <si>
    <t>Dev Joshi</t>
  </si>
  <si>
    <t>ORD00044</t>
  </si>
  <si>
    <t>C0122</t>
  </si>
  <si>
    <t>Meera Nair</t>
  </si>
  <si>
    <t>ORD00045</t>
  </si>
  <si>
    <t>P1017</t>
  </si>
  <si>
    <t>Cricket Bat</t>
  </si>
  <si>
    <t>ORD00046</t>
  </si>
  <si>
    <t>C0065</t>
  </si>
  <si>
    <t>Reyansh Kumar</t>
  </si>
  <si>
    <t>ORD00047</t>
  </si>
  <si>
    <t>ORD00048</t>
  </si>
  <si>
    <t>C0137</t>
  </si>
  <si>
    <t>Aditya Sharma</t>
  </si>
  <si>
    <t>ORD00049</t>
  </si>
  <si>
    <t>C0004</t>
  </si>
  <si>
    <t>Ishaan Mehta</t>
  </si>
  <si>
    <t>ORD00050</t>
  </si>
  <si>
    <t>C0017</t>
  </si>
  <si>
    <t>Riya Singh</t>
  </si>
  <si>
    <t>ORD00051</t>
  </si>
  <si>
    <t>C0022</t>
  </si>
  <si>
    <t>Anaya Mehta</t>
  </si>
  <si>
    <t>ORD00052</t>
  </si>
  <si>
    <t>C0114</t>
  </si>
  <si>
    <t>ORD00053</t>
  </si>
  <si>
    <t>C0161</t>
  </si>
  <si>
    <t>Reyansh Desai</t>
  </si>
  <si>
    <t>Nashik</t>
  </si>
  <si>
    <t>ORD00054</t>
  </si>
  <si>
    <t>C0177</t>
  </si>
  <si>
    <t>Myra Joshi</t>
  </si>
  <si>
    <t>ORD00055</t>
  </si>
  <si>
    <t>ORD00056</t>
  </si>
  <si>
    <t>ORD00057</t>
  </si>
  <si>
    <t>C0139</t>
  </si>
  <si>
    <t>Ishaan Shah</t>
  </si>
  <si>
    <t>ORD00058</t>
  </si>
  <si>
    <t>C0059</t>
  </si>
  <si>
    <t>Vivaan Rao</t>
  </si>
  <si>
    <t>ORD00059</t>
  </si>
  <si>
    <t>ORD00060</t>
  </si>
  <si>
    <t>C0178</t>
  </si>
  <si>
    <t>Riya Joshi</t>
  </si>
  <si>
    <t>ORD00061</t>
  </si>
  <si>
    <t>C0132</t>
  </si>
  <si>
    <t>P1018</t>
  </si>
  <si>
    <t>Face Serum</t>
  </si>
  <si>
    <t>ORD00062</t>
  </si>
  <si>
    <t>ORD00063</t>
  </si>
  <si>
    <t>ORD00064</t>
  </si>
  <si>
    <t>C0031</t>
  </si>
  <si>
    <t>Vihaan Trivedi</t>
  </si>
  <si>
    <t>ORD00065</t>
  </si>
  <si>
    <t>P1013</t>
  </si>
  <si>
    <t>Gel Pen Pack</t>
  </si>
  <si>
    <t>ORD00066</t>
  </si>
  <si>
    <t>C0088</t>
  </si>
  <si>
    <t>Priya Shah</t>
  </si>
  <si>
    <t>ORD00067</t>
  </si>
  <si>
    <t>C0039</t>
  </si>
  <si>
    <t>Diya Shah</t>
  </si>
  <si>
    <t>ORD00068</t>
  </si>
  <si>
    <t>ORD00069</t>
  </si>
  <si>
    <t>ORD00070</t>
  </si>
  <si>
    <t>C0135</t>
  </si>
  <si>
    <t>Ishaan Singh</t>
  </si>
  <si>
    <t>ORD00071</t>
  </si>
  <si>
    <t>C0160</t>
  </si>
  <si>
    <t>Vihaan Desai</t>
  </si>
  <si>
    <t>ORD00072</t>
  </si>
  <si>
    <t>C0010</t>
  </si>
  <si>
    <t>Aditya Desai</t>
  </si>
  <si>
    <t>ORD00073</t>
  </si>
  <si>
    <t>ORD00074</t>
  </si>
  <si>
    <t>C0063</t>
  </si>
  <si>
    <t>Kavya Trivedi</t>
  </si>
  <si>
    <t>ORD00075</t>
  </si>
  <si>
    <t>C0150</t>
  </si>
  <si>
    <t>Sara Desai</t>
  </si>
  <si>
    <t>ORD00076</t>
  </si>
  <si>
    <t>ORD00077</t>
  </si>
  <si>
    <t>ORD00078</t>
  </si>
  <si>
    <t>C0180</t>
  </si>
  <si>
    <t>Priya Rao</t>
  </si>
  <si>
    <t>ORD00079</t>
  </si>
  <si>
    <t>C0074</t>
  </si>
  <si>
    <t>ORD00080</t>
  </si>
  <si>
    <t>C0175</t>
  </si>
  <si>
    <t>Vivaan Mehta</t>
  </si>
  <si>
    <t>ORD00081</t>
  </si>
  <si>
    <t>C0084</t>
  </si>
  <si>
    <t>Meera Iyer</t>
  </si>
  <si>
    <t>ORD00082</t>
  </si>
  <si>
    <t>C0066</t>
  </si>
  <si>
    <t>Ira Nair</t>
  </si>
  <si>
    <t>ORD00083</t>
  </si>
  <si>
    <t>C0173</t>
  </si>
  <si>
    <t>Ira Desai</t>
  </si>
  <si>
    <t>ORD00084</t>
  </si>
  <si>
    <t>ORD00085</t>
  </si>
  <si>
    <t>ORD00086</t>
  </si>
  <si>
    <t>ORD00087</t>
  </si>
  <si>
    <t>ORD00088</t>
  </si>
  <si>
    <t>Mysuru</t>
  </si>
  <si>
    <t>ORD00089</t>
  </si>
  <si>
    <t>ORD00090</t>
  </si>
  <si>
    <t>C0164</t>
  </si>
  <si>
    <t>Sai Joshi</t>
  </si>
  <si>
    <t>ORD00091</t>
  </si>
  <si>
    <t>C0151</t>
  </si>
  <si>
    <t>Vihaan Shah</t>
  </si>
  <si>
    <t>ORD00092</t>
  </si>
  <si>
    <t>C0045</t>
  </si>
  <si>
    <t>Kiara Reddy</t>
  </si>
  <si>
    <t>ORD00093</t>
  </si>
  <si>
    <t>C0068</t>
  </si>
  <si>
    <t>Arjun Joshi</t>
  </si>
  <si>
    <t>ORD00094</t>
  </si>
  <si>
    <t>C0152</t>
  </si>
  <si>
    <t>Nisha Nair</t>
  </si>
  <si>
    <t>ORD00095</t>
  </si>
  <si>
    <t>C0016</t>
  </si>
  <si>
    <t>ORD00096</t>
  </si>
  <si>
    <t>ORD00097</t>
  </si>
  <si>
    <t>ORD00098</t>
  </si>
  <si>
    <t>C0116</t>
  </si>
  <si>
    <t>Aditya Rao</t>
  </si>
  <si>
    <t>ORD00099</t>
  </si>
  <si>
    <t>ORD00100</t>
  </si>
  <si>
    <t>C0034</t>
  </si>
  <si>
    <t>Dhruv Singh</t>
  </si>
  <si>
    <t>ORD00101</t>
  </si>
  <si>
    <t>ORD00102</t>
  </si>
  <si>
    <t>C0143</t>
  </si>
  <si>
    <t>Anaya Kumar</t>
  </si>
  <si>
    <t>ORD00103</t>
  </si>
  <si>
    <t>ORD00104</t>
  </si>
  <si>
    <t>C0047</t>
  </si>
  <si>
    <t>Anaya Sharma</t>
  </si>
  <si>
    <t>ORD00105</t>
  </si>
  <si>
    <t>C0097</t>
  </si>
  <si>
    <t>Priya Joshi</t>
  </si>
  <si>
    <t>ORD00106</t>
  </si>
  <si>
    <t>ORD00107</t>
  </si>
  <si>
    <t>ORD00108</t>
  </si>
  <si>
    <t>ORD00109</t>
  </si>
  <si>
    <t>ORD00110</t>
  </si>
  <si>
    <t>ORD00111</t>
  </si>
  <si>
    <t>C0081</t>
  </si>
  <si>
    <t>ORD00112</t>
  </si>
  <si>
    <t>C0159</t>
  </si>
  <si>
    <t>Priya Reddy</t>
  </si>
  <si>
    <t>ORD00113</t>
  </si>
  <si>
    <t>C0080</t>
  </si>
  <si>
    <t>Dhruv Mehta</t>
  </si>
  <si>
    <t>ORD00114</t>
  </si>
  <si>
    <t>C0090</t>
  </si>
  <si>
    <t>Dev Rao</t>
  </si>
  <si>
    <t>ORD00115</t>
  </si>
  <si>
    <t>C0046</t>
  </si>
  <si>
    <t>ORD00116</t>
  </si>
  <si>
    <t>ORD00117</t>
  </si>
  <si>
    <t>C0019</t>
  </si>
  <si>
    <t>Aarav Rao</t>
  </si>
  <si>
    <t>ORD00118</t>
  </si>
  <si>
    <t>ORD00119</t>
  </si>
  <si>
    <t>C0049</t>
  </si>
  <si>
    <t>Aditya Singh</t>
  </si>
  <si>
    <t>ORD00120</t>
  </si>
  <si>
    <t>ORD00121</t>
  </si>
  <si>
    <t>C0096</t>
  </si>
  <si>
    <t>Priya Trivedi</t>
  </si>
  <si>
    <t>ORD00122</t>
  </si>
  <si>
    <t>ORD00123</t>
  </si>
  <si>
    <t>ORD00124</t>
  </si>
  <si>
    <t>C0144</t>
  </si>
  <si>
    <t>ORD00125</t>
  </si>
  <si>
    <t>C0131</t>
  </si>
  <si>
    <t>ORD00126</t>
  </si>
  <si>
    <t>C0058</t>
  </si>
  <si>
    <t>ORD00127</t>
  </si>
  <si>
    <t>ORD00128</t>
  </si>
  <si>
    <t>ORD00129</t>
  </si>
  <si>
    <t>C0060</t>
  </si>
  <si>
    <t>Aadhya Nair</t>
  </si>
  <si>
    <t>ORD00130</t>
  </si>
  <si>
    <t>ORD00131</t>
  </si>
  <si>
    <t>C0124</t>
  </si>
  <si>
    <t>ORD00132</t>
  </si>
  <si>
    <t>ORD00133</t>
  </si>
  <si>
    <t>C0102</t>
  </si>
  <si>
    <t>Dhruv Verma</t>
  </si>
  <si>
    <t>ORD00134</t>
  </si>
  <si>
    <t>C0086</t>
  </si>
  <si>
    <t>ORD00135</t>
  </si>
  <si>
    <t>C0158</t>
  </si>
  <si>
    <t>Vivaan Nair</t>
  </si>
  <si>
    <t>ORD00136</t>
  </si>
  <si>
    <t>C0109</t>
  </si>
  <si>
    <t>ORD00137</t>
  </si>
  <si>
    <t>ORD00138</t>
  </si>
  <si>
    <t>C0091</t>
  </si>
  <si>
    <t>ORD00139</t>
  </si>
  <si>
    <t>ORD00140</t>
  </si>
  <si>
    <t>C0092</t>
  </si>
  <si>
    <t>Dhruv Reddy</t>
  </si>
  <si>
    <t>ORD00141</t>
  </si>
  <si>
    <t>ORD00142</t>
  </si>
  <si>
    <t>ORD00143</t>
  </si>
  <si>
    <t>ORD00144</t>
  </si>
  <si>
    <t>C0085</t>
  </si>
  <si>
    <t>Krishna Joshi</t>
  </si>
  <si>
    <t>ORD00145</t>
  </si>
  <si>
    <t>ORD00146</t>
  </si>
  <si>
    <t>C0076</t>
  </si>
  <si>
    <t>Arjun Verma</t>
  </si>
  <si>
    <t>ORD00147</t>
  </si>
  <si>
    <t>ORD00148</t>
  </si>
  <si>
    <t>ORD00149</t>
  </si>
  <si>
    <t>ORD00150</t>
  </si>
  <si>
    <t>C0155</t>
  </si>
  <si>
    <t>Priya Patel</t>
  </si>
  <si>
    <t>ORD00151</t>
  </si>
  <si>
    <t>ORD00152</t>
  </si>
  <si>
    <t>ORD00153</t>
  </si>
  <si>
    <t>ORD00154</t>
  </si>
  <si>
    <t>ORD00155</t>
  </si>
  <si>
    <t>ORD00156</t>
  </si>
  <si>
    <t>ORD00157</t>
  </si>
  <si>
    <t>C0033</t>
  </si>
  <si>
    <t>ORD00158</t>
  </si>
  <si>
    <t>ORD00159</t>
  </si>
  <si>
    <t>C0051</t>
  </si>
  <si>
    <t>Dev Sharma</t>
  </si>
  <si>
    <t>ORD00160</t>
  </si>
  <si>
    <t>C0149</t>
  </si>
  <si>
    <t>Ira Rao</t>
  </si>
  <si>
    <t>ORD00161</t>
  </si>
  <si>
    <t>ORD00162</t>
  </si>
  <si>
    <t>ORD00163</t>
  </si>
  <si>
    <t>ORD00164</t>
  </si>
  <si>
    <t>ORD00165</t>
  </si>
  <si>
    <t>ORD00166</t>
  </si>
  <si>
    <t>C0120</t>
  </si>
  <si>
    <t>Dev Mehta</t>
  </si>
  <si>
    <t>ORD00167</t>
  </si>
  <si>
    <t>ORD00168</t>
  </si>
  <si>
    <t>C0111</t>
  </si>
  <si>
    <t>Diya Desai</t>
  </si>
  <si>
    <t>ORD00169</t>
  </si>
  <si>
    <t>ORD00170</t>
  </si>
  <si>
    <t>C0157</t>
  </si>
  <si>
    <t>Dhruv Shah</t>
  </si>
  <si>
    <t>ORD00171</t>
  </si>
  <si>
    <t>ORD00172</t>
  </si>
  <si>
    <t>ORD00173</t>
  </si>
  <si>
    <t>ORD00174</t>
  </si>
  <si>
    <t>C0107</t>
  </si>
  <si>
    <t>Aarav Singh</t>
  </si>
  <si>
    <t>ORD00175</t>
  </si>
  <si>
    <t>ORD00176</t>
  </si>
  <si>
    <t>C0005</t>
  </si>
  <si>
    <t>ORD00177</t>
  </si>
  <si>
    <t>ORD00178</t>
  </si>
  <si>
    <t>C0118</t>
  </si>
  <si>
    <t>Arjun Mehta</t>
  </si>
  <si>
    <t>ORD00179</t>
  </si>
  <si>
    <t>C0072</t>
  </si>
  <si>
    <t>Priya Singh</t>
  </si>
  <si>
    <t>ORD00180</t>
  </si>
  <si>
    <t>ORD00181</t>
  </si>
  <si>
    <t>C0089</t>
  </si>
  <si>
    <t>Nisha Trivedi</t>
  </si>
  <si>
    <t>ORD00182</t>
  </si>
  <si>
    <t>C0036</t>
  </si>
  <si>
    <t>Reyansh Sharma</t>
  </si>
  <si>
    <t>ORD00183</t>
  </si>
  <si>
    <t>C0026</t>
  </si>
  <si>
    <t>Vihaan Reddy</t>
  </si>
  <si>
    <t>ORD00184</t>
  </si>
  <si>
    <t>C0168</t>
  </si>
  <si>
    <t>Vivaan Kumar</t>
  </si>
  <si>
    <t>ORD00185</t>
  </si>
  <si>
    <t>C0147</t>
  </si>
  <si>
    <t>Kavya Singh</t>
  </si>
  <si>
    <t>ORD00186</t>
  </si>
  <si>
    <t>ORD00187</t>
  </si>
  <si>
    <t>C0117</t>
  </si>
  <si>
    <t>ORD00188</t>
  </si>
  <si>
    <t>ORD00189</t>
  </si>
  <si>
    <t>ORD00190</t>
  </si>
  <si>
    <t>ORD00191</t>
  </si>
  <si>
    <t>C0003</t>
  </si>
  <si>
    <t>Anaya Desai</t>
  </si>
  <si>
    <t>ORD00192</t>
  </si>
  <si>
    <t>ORD00193</t>
  </si>
  <si>
    <t>ORD00194</t>
  </si>
  <si>
    <t>ORD00195</t>
  </si>
  <si>
    <t>C0138</t>
  </si>
  <si>
    <t>Dhruv Patel</t>
  </si>
  <si>
    <t>ORD00196</t>
  </si>
  <si>
    <t>ORD00197</t>
  </si>
  <si>
    <t>C0079</t>
  </si>
  <si>
    <t>Vihaan Mehta</t>
  </si>
  <si>
    <t>ORD00198</t>
  </si>
  <si>
    <t>ORD00199</t>
  </si>
  <si>
    <t>ORD00200</t>
  </si>
  <si>
    <t>ORD00201</t>
  </si>
  <si>
    <t>ORD00202</t>
  </si>
  <si>
    <t>C0009</t>
  </si>
  <si>
    <t>Vivaan Patel</t>
  </si>
  <si>
    <t>ORD00203</t>
  </si>
  <si>
    <t>C0013</t>
  </si>
  <si>
    <t>ORD00204</t>
  </si>
  <si>
    <t>C0148</t>
  </si>
  <si>
    <t>ORD00205</t>
  </si>
  <si>
    <t>ORD00206</t>
  </si>
  <si>
    <t>ORD00207</t>
  </si>
  <si>
    <t>C0062</t>
  </si>
  <si>
    <t>Reyansh Trivedi</t>
  </si>
  <si>
    <t>ORD00208</t>
  </si>
  <si>
    <t>ORD00209</t>
  </si>
  <si>
    <t>C0014</t>
  </si>
  <si>
    <t>Rohan Kumar</t>
  </si>
  <si>
    <t>ORD00210</t>
  </si>
  <si>
    <t>C0123</t>
  </si>
  <si>
    <t>ORD00211</t>
  </si>
  <si>
    <t>ORD00212</t>
  </si>
  <si>
    <t>ORD00213</t>
  </si>
  <si>
    <t>C0095</t>
  </si>
  <si>
    <t>Riya Patel</t>
  </si>
  <si>
    <t>ORD00214</t>
  </si>
  <si>
    <t>ORD00215</t>
  </si>
  <si>
    <t>ORD00216</t>
  </si>
  <si>
    <t>C0126</t>
  </si>
  <si>
    <t>ORD00217</t>
  </si>
  <si>
    <t>C0002</t>
  </si>
  <si>
    <t>Aarav Sharma</t>
  </si>
  <si>
    <t>ORD00218</t>
  </si>
  <si>
    <t>ORD00219</t>
  </si>
  <si>
    <t>ORD00220</t>
  </si>
  <si>
    <t>ORD00221</t>
  </si>
  <si>
    <t>ORD00222</t>
  </si>
  <si>
    <t>ORD00223</t>
  </si>
  <si>
    <t>ORD00224</t>
  </si>
  <si>
    <t>ORD00225</t>
  </si>
  <si>
    <t>C0145</t>
  </si>
  <si>
    <t>ORD00226</t>
  </si>
  <si>
    <t>C0129</t>
  </si>
  <si>
    <t>Kiara Iyer</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</si>
  <si>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</si>
  <si>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</si>
  <si>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</si>
  <si>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</si>
  <si>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</si>
  <si>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</si>
  <si>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</si>
  <si>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</si>
  <si>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</si>
  <si>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</si>
  <si>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</si>
  <si>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</si>
  <si>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</si>
  <si>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</si>
  <si>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</si>
  <si>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</si>
  <si>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</si>
  <si>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</si>
  <si>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</si>
  <si>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C0053</t>
  </si>
  <si>
    <t>Riya Nair</t>
  </si>
  <si>
    <t>ORD00246</t>
  </si>
  <si>
    <t>C0030</t>
  </si>
  <si>
    <t>Riya Verma</t>
  </si>
  <si>
    <t>ORD00247</t>
  </si>
  <si>
    <t>ORD00248</t>
  </si>
  <si>
    <t>ORD00249</t>
  </si>
  <si>
    <t>ORD00250</t>
  </si>
  <si>
    <t>ORD00251</t>
  </si>
  <si>
    <t>ORD00252</t>
  </si>
  <si>
    <t>ORD00253</t>
  </si>
  <si>
    <t>ORD00254</t>
  </si>
  <si>
    <t>ORD00255</t>
  </si>
  <si>
    <t>ORD00256</t>
  </si>
  <si>
    <t>ORD00257</t>
  </si>
  <si>
    <t>ORD00258</t>
  </si>
  <si>
    <t>ORD00259</t>
  </si>
  <si>
    <t>C0054</t>
  </si>
  <si>
    <t>Anaya Trivedi</t>
  </si>
  <si>
    <t>ORD00260</t>
  </si>
  <si>
    <t>ORD00261</t>
  </si>
  <si>
    <t>C0025</t>
  </si>
  <si>
    <t>Aditya Nair</t>
  </si>
  <si>
    <t>ORD00262</t>
  </si>
  <si>
    <t>ORD00263</t>
  </si>
  <si>
    <t>ORD00264</t>
  </si>
  <si>
    <t>ORD00265</t>
  </si>
  <si>
    <t>C0141</t>
  </si>
  <si>
    <t>ORD00266</t>
  </si>
  <si>
    <t>C0032</t>
  </si>
  <si>
    <t>Myra Shah</t>
  </si>
  <si>
    <t>ORD00267</t>
  </si>
  <si>
    <t>ORD00268</t>
  </si>
  <si>
    <t>ORD00269</t>
  </si>
  <si>
    <t>C0133</t>
  </si>
  <si>
    <t>Aadhya Patel</t>
  </si>
  <si>
    <t>ORD00270</t>
  </si>
  <si>
    <t>ORD00271</t>
  </si>
  <si>
    <t>ORD00272</t>
  </si>
  <si>
    <t>C0106</t>
  </si>
  <si>
    <t>Krishna Trivedi</t>
  </si>
  <si>
    <t>ORD00273</t>
  </si>
  <si>
    <t>ORD00274</t>
  </si>
  <si>
    <t>ORD00275</t>
  </si>
  <si>
    <t>ORD00276</t>
  </si>
  <si>
    <t>C0082</t>
  </si>
  <si>
    <t>Meera Shah</t>
  </si>
  <si>
    <t>ORD00277</t>
  </si>
  <si>
    <t>ORD00278</t>
  </si>
  <si>
    <t>ORD00279</t>
  </si>
  <si>
    <t>C0021</t>
  </si>
  <si>
    <t>Sara Reddy</t>
  </si>
  <si>
    <t>ORD00280</t>
  </si>
  <si>
    <t>ORD00281</t>
  </si>
  <si>
    <t>ORD00282</t>
  </si>
  <si>
    <t>ORD00283</t>
  </si>
  <si>
    <t>ORD00284</t>
  </si>
  <si>
    <t>ORD00285</t>
  </si>
  <si>
    <t>ORD00286</t>
  </si>
  <si>
    <t>ORD00287</t>
  </si>
  <si>
    <t>ORD00288</t>
  </si>
  <si>
    <t>C0073</t>
  </si>
  <si>
    <t>Sara Trivedi</t>
  </si>
  <si>
    <t>ORD00289</t>
  </si>
  <si>
    <t>ORD00290</t>
  </si>
  <si>
    <t>ORD00291</t>
  </si>
  <si>
    <t>ORD00292</t>
  </si>
  <si>
    <t>ORD00293</t>
  </si>
  <si>
    <t>C0020</t>
  </si>
  <si>
    <t>Sai Sharma</t>
  </si>
  <si>
    <t>ORD00294</t>
  </si>
  <si>
    <t>ORD00295</t>
  </si>
  <si>
    <t>ORD00296</t>
  </si>
  <si>
    <t>ORD00297</t>
  </si>
  <si>
    <t>ORD00298</t>
  </si>
  <si>
    <t>C0077</t>
  </si>
  <si>
    <t>Ira Shah</t>
  </si>
  <si>
    <t>ORD00299</t>
  </si>
  <si>
    <t>ORD00300</t>
  </si>
  <si>
    <t>ORD00301</t>
  </si>
  <si>
    <t>ORD00302</t>
  </si>
  <si>
    <t>ORD00303</t>
  </si>
  <si>
    <t>ORD00304</t>
  </si>
  <si>
    <t>C0165</t>
  </si>
  <si>
    <t>Riya Desai</t>
  </si>
  <si>
    <t>ORD00305</t>
  </si>
  <si>
    <t>ORD00306</t>
  </si>
  <si>
    <t>C0121</t>
  </si>
  <si>
    <t>Anaya Verma</t>
  </si>
  <si>
    <t>ORD00307</t>
  </si>
  <si>
    <t>C0057</t>
  </si>
  <si>
    <t>Nisha Reddy</t>
  </si>
  <si>
    <t>ORD00308</t>
  </si>
  <si>
    <t>ORD00309</t>
  </si>
  <si>
    <t>ORD00310</t>
  </si>
  <si>
    <t>ORD00311</t>
  </si>
  <si>
    <t>ORD00312</t>
  </si>
  <si>
    <t>C0125</t>
  </si>
  <si>
    <t>Priya Sharma</t>
  </si>
  <si>
    <t>ORD00313</t>
  </si>
  <si>
    <t>ORD00314</t>
  </si>
  <si>
    <t>ORD00315</t>
  </si>
  <si>
    <t>C0163</t>
  </si>
  <si>
    <t>Arjun Nair</t>
  </si>
  <si>
    <t>ORD00316</t>
  </si>
  <si>
    <t>ORD00317</t>
  </si>
  <si>
    <t>ORD00318</t>
  </si>
  <si>
    <t>ORD00319</t>
  </si>
  <si>
    <t>ORD00320</t>
  </si>
  <si>
    <t>ORD00321</t>
  </si>
  <si>
    <t>ORD00322</t>
  </si>
  <si>
    <t>ORD00323</t>
  </si>
  <si>
    <t>ORD00324</t>
  </si>
  <si>
    <t>ORD00325</t>
  </si>
  <si>
    <t>ORD00326</t>
  </si>
  <si>
    <t>C0061</t>
  </si>
  <si>
    <t>Anaya Shah</t>
  </si>
  <si>
    <t>ORD00327</t>
  </si>
  <si>
    <t>ORD00328</t>
  </si>
  <si>
    <t>ORD00329</t>
  </si>
  <si>
    <t>ORD00330</t>
  </si>
  <si>
    <t>ORD00331</t>
  </si>
  <si>
    <t>ORD00332</t>
  </si>
  <si>
    <t>ORD00333</t>
  </si>
  <si>
    <t>ORD00334</t>
  </si>
  <si>
    <t>C0083</t>
  </si>
  <si>
    <t>Myra Nair</t>
  </si>
  <si>
    <t>ORD00335</t>
  </si>
  <si>
    <t>ORD00336</t>
  </si>
  <si>
    <t>ORD00337</t>
  </si>
  <si>
    <t>ORD00338</t>
  </si>
  <si>
    <t>ORD00339</t>
  </si>
  <si>
    <t>ORD00340</t>
  </si>
  <si>
    <t>ORD00341</t>
  </si>
  <si>
    <t>ORD00342</t>
  </si>
  <si>
    <t>ORD00343</t>
  </si>
  <si>
    <t>ORD00344</t>
  </si>
  <si>
    <t>ORD00345</t>
  </si>
  <si>
    <t>ORD00346</t>
  </si>
  <si>
    <t>ORD00347</t>
  </si>
  <si>
    <t>ORD00348</t>
  </si>
  <si>
    <t>ORD00349</t>
  </si>
  <si>
    <t>C0067</t>
  </si>
  <si>
    <t>Dhruv Iyer</t>
  </si>
  <si>
    <t>ORD00350</t>
  </si>
  <si>
    <t>ORD00351</t>
  </si>
  <si>
    <t>C0052</t>
  </si>
  <si>
    <t>ORD00352</t>
  </si>
  <si>
    <t>C0162</t>
  </si>
  <si>
    <t>Dev Iyer</t>
  </si>
  <si>
    <t>ORD00353</t>
  </si>
  <si>
    <t>C0023</t>
  </si>
  <si>
    <t>Reyansh Rao</t>
  </si>
  <si>
    <t>ORD00354</t>
  </si>
  <si>
    <t>ORD00355</t>
  </si>
  <si>
    <t>ORD00356</t>
  </si>
  <si>
    <t>C0075</t>
  </si>
  <si>
    <t>Kiara Desai</t>
  </si>
  <si>
    <t>ORD00357</t>
  </si>
  <si>
    <t>ORD00358</t>
  </si>
  <si>
    <t>ORD00359</t>
  </si>
  <si>
    <t>ORD00360</t>
  </si>
  <si>
    <t>ORD00361</t>
  </si>
  <si>
    <t>ORD00362</t>
  </si>
  <si>
    <t>C0128</t>
  </si>
  <si>
    <t>ORD00363</t>
  </si>
  <si>
    <t>ORD00364</t>
  </si>
  <si>
    <t>ORD00365</t>
  </si>
  <si>
    <t>ORD00366</t>
  </si>
  <si>
    <t>ORD00367</t>
  </si>
  <si>
    <t>ORD00368</t>
  </si>
  <si>
    <t>ORD00369</t>
  </si>
  <si>
    <t>C0146</t>
  </si>
  <si>
    <t>ORD00370</t>
  </si>
  <si>
    <t>ORD00371</t>
  </si>
  <si>
    <t>ORD00372</t>
  </si>
  <si>
    <t>ORD00373</t>
  </si>
  <si>
    <t>ORD00374</t>
  </si>
  <si>
    <t>ORD00375</t>
  </si>
  <si>
    <t>ORD00376</t>
  </si>
  <si>
    <t>ORD00377</t>
  </si>
  <si>
    <t>ORD00378</t>
  </si>
  <si>
    <t>C0001</t>
  </si>
  <si>
    <t>ORD00379</t>
  </si>
  <si>
    <t>ORD00380</t>
  </si>
  <si>
    <t>ORD00381</t>
  </si>
  <si>
    <t>ORD00382</t>
  </si>
  <si>
    <t>ORD00383</t>
  </si>
  <si>
    <t>ORD00384</t>
  </si>
  <si>
    <t>ORD00385</t>
  </si>
  <si>
    <t>C0167</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</si>
  <si>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</si>
  <si>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</si>
  <si>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</si>
  <si>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</si>
  <si>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</si>
  <si>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</si>
  <si>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</si>
  <si>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</si>
  <si>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</si>
  <si>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</si>
  <si>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</si>
  <si>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</si>
  <si>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</si>
  <si>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</si>
  <si>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</si>
  <si>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</si>
  <si>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</si>
  <si>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</si>
  <si>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</si>
  <si>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</si>
  <si>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</si>
  <si>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</si>
  <si>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C0037</t>
  </si>
  <si>
    <t>Aditya Patel</t>
  </si>
  <si>
    <t>ORD00408</t>
  </si>
  <si>
    <t>ORD00409</t>
  </si>
  <si>
    <t>ORD00410</t>
  </si>
  <si>
    <t>ORD00411</t>
  </si>
  <si>
    <t>ORD00412</t>
  </si>
  <si>
    <t>ORD00413</t>
  </si>
  <si>
    <t>ORD00414</t>
  </si>
  <si>
    <t>ORD00415</t>
  </si>
  <si>
    <t>C0035</t>
  </si>
  <si>
    <t>ORD00416</t>
  </si>
  <si>
    <t>ORD00417</t>
  </si>
  <si>
    <t>ORD00418</t>
  </si>
  <si>
    <t>C0093</t>
  </si>
  <si>
    <t>Vihaan Joshi</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</si>
  <si>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</si>
  <si>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</si>
  <si>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</si>
  <si>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</si>
  <si>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</si>
  <si>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</si>
  <si>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</si>
  <si>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</si>
  <si>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</si>
  <si>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</si>
  <si>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</si>
  <si>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</si>
  <si>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</si>
  <si>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</si>
  <si>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</si>
  <si>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</si>
  <si>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</si>
  <si>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</si>
  <si>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C0176</t>
  </si>
  <si>
    <t>Myra Patel</t>
  </si>
  <si>
    <t>ORD00437</t>
  </si>
  <si>
    <t>ORD00438</t>
  </si>
  <si>
    <t>ORD00439</t>
  </si>
  <si>
    <t>ORD00440</t>
  </si>
  <si>
    <t>ORD00441</t>
  </si>
  <si>
    <t>C0018</t>
  </si>
  <si>
    <t>ORD00442</t>
  </si>
  <si>
    <t>ORD00443</t>
  </si>
  <si>
    <t>ORD00444</t>
  </si>
  <si>
    <t>ORD00445</t>
  </si>
  <si>
    <t>ORD00446</t>
  </si>
  <si>
    <t>ORD00447</t>
  </si>
  <si>
    <t>ORD00448</t>
  </si>
  <si>
    <t>ORD00449</t>
  </si>
  <si>
    <t>ORD00450</t>
  </si>
  <si>
    <t>ORD00451</t>
  </si>
  <si>
    <t>ORD00452</t>
  </si>
  <si>
    <t>ORD00453</t>
  </si>
  <si>
    <t>C0048</t>
  </si>
  <si>
    <t>ORD00454</t>
  </si>
  <si>
    <t>ORD00455</t>
  </si>
  <si>
    <t>ORD00456</t>
  </si>
  <si>
    <t>ORD00457</t>
  </si>
  <si>
    <t>ORD00458</t>
  </si>
  <si>
    <t>ORD00459</t>
  </si>
  <si>
    <t>C0006</t>
  </si>
  <si>
    <t>Nisha Sharma</t>
  </si>
  <si>
    <t>ORD00460</t>
  </si>
  <si>
    <t>ORD00461</t>
  </si>
  <si>
    <t>C0038</t>
  </si>
  <si>
    <t>Nisha Desai</t>
  </si>
  <si>
    <t>ORD00462</t>
  </si>
  <si>
    <t>ORD00463</t>
  </si>
  <si>
    <t>C0134</t>
  </si>
  <si>
    <t>Kavya Verma</t>
  </si>
  <si>
    <t>ORD00464</t>
  </si>
  <si>
    <t>ORD00465</t>
  </si>
  <si>
    <t>ORD00466</t>
  </si>
  <si>
    <t>ORD00467</t>
  </si>
  <si>
    <t>C0070</t>
  </si>
  <si>
    <t>Priya Verma</t>
  </si>
  <si>
    <t>ORD00468</t>
  </si>
  <si>
    <t>ORD00469</t>
  </si>
  <si>
    <t>ORD00470</t>
  </si>
  <si>
    <t>ORD00471</t>
  </si>
  <si>
    <t>ORD00472</t>
  </si>
  <si>
    <t>ORD00473</t>
  </si>
  <si>
    <t>ORD00474</t>
  </si>
  <si>
    <t>ORD00475</t>
  </si>
  <si>
    <t>ORD00476</t>
  </si>
  <si>
    <t>ORD00477</t>
  </si>
  <si>
    <t>C0050</t>
  </si>
  <si>
    <t>ORD00478</t>
  </si>
  <si>
    <t>ORD00479</t>
  </si>
  <si>
    <t>ORD00480</t>
  </si>
  <si>
    <t>ORD00481</t>
  </si>
  <si>
    <t>ORD00482</t>
  </si>
  <si>
    <t>ORD00483</t>
  </si>
  <si>
    <t>ORD00484</t>
  </si>
  <si>
    <t>ORD00485</t>
  </si>
  <si>
    <t>ORD00486</t>
  </si>
  <si>
    <t>ORD00487</t>
  </si>
  <si>
    <t>ORD00488</t>
  </si>
  <si>
    <t>C0105</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</si>
  <si>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</si>
  <si>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</si>
  <si>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</si>
  <si>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</si>
  <si>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</si>
  <si>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</si>
  <si>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</si>
  <si>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</si>
  <si>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</si>
  <si>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</si>
  <si>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</si>
  <si>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</si>
  <si>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</si>
  <si>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</si>
  <si>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</si>
  <si>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</si>
  <si>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</si>
  <si>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</si>
  <si>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</si>
  <si>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</si>
  <si>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</si>
  <si>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</si>
  <si>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</si>
  <si>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</si>
  <si>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</si>
  <si>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</si>
  <si>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</si>
  <si>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</si>
  <si>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</si>
  <si>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</si>
  <si>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</si>
  <si>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</si>
  <si>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</si>
  <si>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</si>
  <si>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</si>
  <si>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</si>
  <si>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</si>
  <si>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</si>
  <si>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</si>
  <si>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</si>
  <si>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C0101</t>
  </si>
  <si>
    <t>Dhruv Joshi</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</si>
  <si>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</si>
  <si>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</si>
  <si>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</si>
  <si>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</si>
  <si>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</si>
  <si>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</si>
  <si>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</si>
  <si>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</si>
  <si>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</si>
  <si>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</si>
  <si>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</si>
  <si>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</si>
  <si>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</si>
  <si>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</si>
  <si>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</si>
  <si>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</si>
  <si>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</si>
  <si>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</si>
  <si>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</si>
  <si>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</si>
  <si>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</si>
  <si>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</si>
  <si>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</si>
  <si>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</si>
  <si>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</si>
  <si>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</si>
  <si>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</si>
  <si>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</si>
  <si>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</si>
  <si>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</si>
  <si>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</si>
  <si>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</si>
  <si>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</si>
  <si>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</si>
  <si>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</si>
  <si>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</si>
  <si>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</si>
  <si>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</si>
  <si>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</si>
  <si>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</si>
  <si>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</si>
  <si>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</si>
  <si>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</si>
  <si>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</si>
  <si>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</si>
  <si>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</si>
  <si>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</si>
  <si>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</si>
  <si>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</si>
  <si>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</si>
  <si>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</si>
  <si>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</si>
  <si>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</si>
  <si>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</si>
  <si>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</si>
  <si>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</si>
  <si>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</si>
  <si>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</si>
  <si>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</si>
  <si>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</si>
  <si>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</si>
  <si>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</si>
  <si>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</si>
  <si>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</si>
  <si>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</si>
  <si>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</si>
  <si>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</si>
  <si>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</si>
  <si>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</si>
  <si>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</si>
  <si>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</si>
  <si>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C0115</t>
  </si>
  <si>
    <t>Ira Prajapati</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</si>
  <si>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</si>
  <si>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</si>
  <si>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</si>
  <si>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</si>
  <si>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</si>
  <si>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</si>
  <si>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</si>
  <si>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</si>
  <si>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</si>
  <si>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</si>
  <si>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</si>
  <si>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</si>
  <si>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</si>
  <si>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</si>
  <si>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</si>
  <si>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</si>
  <si>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</si>
  <si>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</si>
  <si>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</si>
  <si>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</si>
  <si>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</si>
  <si>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</si>
  <si>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</si>
  <si>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</si>
  <si>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</si>
  <si>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</si>
  <si>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</si>
  <si>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</si>
  <si>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</si>
  <si>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</si>
  <si>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C0042</t>
  </si>
  <si>
    <t>Anaya Iyer</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</si>
  <si>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</si>
  <si>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</si>
  <si>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</si>
  <si>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</si>
  <si>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</si>
  <si>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</si>
  <si>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</si>
  <si>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</si>
  <si>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</si>
  <si>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</si>
  <si>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</si>
  <si>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</si>
  <si>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</si>
  <si>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</si>
  <si>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</si>
  <si>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</si>
  <si>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</si>
  <si>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</si>
  <si>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</si>
  <si>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</si>
  <si>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</si>
  <si>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</si>
  <si>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</si>
  <si>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</si>
  <si>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</si>
  <si>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</si>
  <si>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</si>
  <si>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</si>
  <si>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</si>
  <si>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</si>
  <si>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</si>
  <si>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</si>
  <si>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</si>
  <si>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</si>
  <si>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</si>
  <si>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</si>
  <si>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</si>
  <si>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</si>
  <si>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</si>
  <si>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</si>
  <si>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</si>
  <si>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</si>
  <si>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</si>
  <si>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C0029</t>
  </si>
  <si>
    <t>Vivaan Sharma</t>
  </si>
  <si>
    <t>ORD00673</t>
  </si>
  <si>
    <t>ORD00674</t>
  </si>
  <si>
    <t>ORD00675</t>
  </si>
  <si>
    <t>ORD00676</t>
  </si>
  <si>
    <t>ORD00677</t>
  </si>
  <si>
    <t>ORD00678</t>
  </si>
  <si>
    <t>C0104</t>
  </si>
  <si>
    <t>Arjun Reddy</t>
  </si>
  <si>
    <t>ORD00679</t>
  </si>
  <si>
    <t>ORD00680</t>
  </si>
  <si>
    <t>ORD00681</t>
  </si>
  <si>
    <t>ORD00682</t>
  </si>
  <si>
    <t>ORD00683</t>
  </si>
  <si>
    <t>ORD00684</t>
  </si>
  <si>
    <t>ORD00685</t>
  </si>
  <si>
    <t>ORD00686</t>
  </si>
  <si>
    <t>ORD00687</t>
  </si>
  <si>
    <t>ORD00688</t>
  </si>
  <si>
    <t>C0044</t>
  </si>
  <si>
    <t>Kiara Mehta</t>
  </si>
  <si>
    <t>ORD00689</t>
  </si>
  <si>
    <t>ORD00690</t>
  </si>
  <si>
    <t>ORD00691</t>
  </si>
  <si>
    <t>ORD00692</t>
  </si>
  <si>
    <t>ORD00693</t>
  </si>
  <si>
    <t>ORD00694</t>
  </si>
  <si>
    <t>ORD00695</t>
  </si>
  <si>
    <t>ORD00696</t>
  </si>
  <si>
    <t>ORD00697</t>
  </si>
  <si>
    <t>ORD00698</t>
  </si>
  <si>
    <t>ORD00699</t>
  </si>
  <si>
    <t>ORD00700</t>
  </si>
  <si>
    <t>ORD00701</t>
  </si>
  <si>
    <t>ORD00702</t>
  </si>
  <si>
    <t>C0154</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</si>
  <si>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</si>
  <si>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</si>
  <si>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</si>
  <si>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</si>
  <si>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</si>
  <si>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</si>
  <si>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</si>
  <si>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</si>
  <si>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</si>
  <si>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</si>
  <si>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</si>
  <si>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</si>
  <si>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</si>
  <si>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</si>
  <si>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</si>
  <si>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</si>
  <si>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</si>
  <si>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</si>
  <si>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</si>
  <si>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</si>
  <si>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</si>
  <si>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</si>
  <si>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</si>
  <si>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</si>
  <si>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</si>
  <si>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</si>
  <si>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</si>
  <si>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</si>
  <si>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</si>
  <si>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</si>
  <si>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</si>
  <si>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</si>
  <si>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</si>
  <si>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</si>
  <si>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</si>
  <si>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</si>
  <si>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</si>
  <si>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</si>
  <si>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</si>
  <si>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</si>
  <si>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</si>
  <si>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</si>
  <si>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</si>
  <si>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</si>
  <si>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</si>
  <si>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</si>
  <si>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</si>
  <si>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</si>
  <si>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</si>
  <si>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</si>
  <si>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</si>
  <si>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</si>
  <si>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</si>
  <si>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</si>
  <si>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</si>
  <si>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</si>
  <si>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</si>
  <si>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</si>
  <si>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</si>
  <si>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</si>
  <si>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</si>
  <si>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</si>
  <si>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</si>
  <si>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</si>
  <si>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</si>
  <si>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</si>
  <si>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</si>
  <si>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</si>
  <si>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</si>
  <si>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</si>
  <si>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</si>
  <si>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</si>
  <si>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</si>
  <si>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</si>
  <si>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</si>
  <si>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</si>
  <si>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</si>
  <si>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</si>
  <si>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</si>
  <si>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</si>
  <si>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</si>
  <si>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</si>
  <si>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</si>
  <si>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</si>
  <si>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</si>
  <si>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</si>
  <si>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</si>
  <si>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</si>
  <si>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ORD00792</t>
  </si>
  <si>
    <t>ORD00793</t>
  </si>
  <si>
    <t>ORD00794</t>
  </si>
  <si>
    <t>ORD00795</t>
  </si>
  <si>
    <t>ORD00797</t>
  </si>
  <si>
    <t>ORD00798</t>
  </si>
  <si>
    <t>ORD00799</t>
  </si>
  <si>
    <t>Unit Price</t>
  </si>
  <si>
    <t>Sales Amount</t>
  </si>
  <si>
    <t>Profit</t>
  </si>
  <si>
    <t>ORD00791</t>
  </si>
  <si>
    <t>ORD00796</t>
  </si>
  <si>
    <t>Input (Product ID)</t>
  </si>
  <si>
    <t>Output (Product Name)</t>
  </si>
  <si>
    <t>Product Vlookup</t>
  </si>
  <si>
    <t>Index Match</t>
  </si>
  <si>
    <t>Input (Customer ID)</t>
  </si>
  <si>
    <t>Output (Customer Name)</t>
  </si>
  <si>
    <t>Sales Category</t>
  </si>
  <si>
    <t>COUNTIF (No. of Order by State)</t>
  </si>
  <si>
    <t>SUMIF (Total Sales by Product)</t>
  </si>
  <si>
    <t>Highest sale</t>
  </si>
  <si>
    <t>Total Amount</t>
  </si>
  <si>
    <t>Lowest sale</t>
  </si>
  <si>
    <t>Total Visits</t>
  </si>
  <si>
    <t>Total Sale</t>
  </si>
  <si>
    <t>Average Sale</t>
  </si>
  <si>
    <t>Total Profit</t>
  </si>
  <si>
    <t>Total Quantity Sold</t>
  </si>
  <si>
    <t>Profit Margin (%)</t>
  </si>
  <si>
    <t>Completed Orders</t>
  </si>
  <si>
    <t>Grand Total</t>
  </si>
  <si>
    <t>Jan</t>
  </si>
  <si>
    <t>Feb</t>
  </si>
  <si>
    <t>Mar</t>
  </si>
  <si>
    <t>Apr</t>
  </si>
  <si>
    <t>May</t>
  </si>
  <si>
    <t>Jun</t>
  </si>
  <si>
    <t>Jul</t>
  </si>
  <si>
    <t>Aug</t>
  </si>
  <si>
    <t>Sep</t>
  </si>
  <si>
    <t>Oct</t>
  </si>
  <si>
    <t>Nov</t>
  </si>
  <si>
    <t>Dec</t>
  </si>
  <si>
    <t>Top 10 Product</t>
  </si>
  <si>
    <t>Total Sales</t>
  </si>
  <si>
    <t>Month</t>
  </si>
  <si>
    <t>Product Category</t>
  </si>
  <si>
    <t>No. of Order</t>
  </si>
  <si>
    <t>No. Of Order</t>
  </si>
  <si>
    <t>Status</t>
  </si>
  <si>
    <t>E-COMMERCE SALES DASHBOARD</t>
  </si>
  <si>
    <t>TOTAL SALES</t>
  </si>
  <si>
    <t>TOTAL PROFIT</t>
  </si>
  <si>
    <t>PROFIT MARGIN</t>
  </si>
  <si>
    <t>TOTAL ORDERS</t>
  </si>
  <si>
    <t>AVG ORDER VALUE</t>
  </si>
  <si>
    <t>FILTERS</t>
  </si>
  <si>
    <t>KEY INSIGHTS</t>
  </si>
  <si>
    <t>TOP MARKETS</t>
  </si>
  <si>
    <t>SEASONALITY</t>
  </si>
  <si>
    <t>STAR PRODUCT</t>
  </si>
  <si>
    <t>PROFITABILITY</t>
  </si>
  <si>
    <t>ORDER HEALTH</t>
  </si>
  <si>
    <t>ORDER MIX</t>
  </si>
  <si>
    <t>Maharashtra leads with ₹12.5 L in sales, contributing 19% of total revenue.</t>
  </si>
  <si>
    <t>Study Desk leads with ₹25,077 in sales, making it the top product by revenue.</t>
  </si>
  <si>
    <t>Office Chair generates ₹10.72 L in sales. Compare its profit contribution and margin to evaluate profitability.</t>
  </si>
  <si>
    <t>Monitor completed, pending, cancelled, and returned orders to identify order-processing issues.</t>
  </si>
  <si>
    <t>Monthly sales trends reveal changes in revenue throughout the year.</t>
  </si>
  <si>
    <t>UPI and Net Banking are the most popular payment methods.</t>
  </si>
  <si>
    <t>Top 10 Customers</t>
  </si>
  <si>
    <t>JAN–DEC 2025  |  REVENUE • PROFITABILITY • ORDERS  |  INTERACTIVE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</si>
</sst>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164" formatCode="\₹#,##0.00"/>
    <numFmt numFmtId="165" formatCode="&quot;₹&quot;0.00&quot; L&quot;"/>
    <numFmt numFmtId="166" formatCode="0.0%"/>
    <numFmt numFmtId="167" formatCode="[&gt;=10000000]&quot;₹&quot;##\,##\,##\,##0;[&gt;=100000]&quot;₹&quot;##\,##\,##0;&quot;₹&quot;##,##0"/>
  </numFmts>
  <fonts count="27" x14ac:knownFonts="1">
    <font>
      <sz val="11"/>
      <color theme="1"/>
      <name val="Aptos Narrow"/>
      <family val="2"/>
      <scheme val="minor"/>
    </font>
    <font>
      <b/>
      <sz val="11"/>
      <color theme="0"/>
      <name val="Aptos Narrow"/>
      <family val="2"/>
      <scheme val="minor"/>
    </font>
    <font>
      <b/>
      <sz val="12"/>
      <color theme="0"/>
      <name val="Aptos Narrow"/>
      <family val="2"/>
      <scheme val="minor"/>
    </font>
    <font>
      <b/>
      <sz val="11.5"/>
      <color theme="1"/>
      <name val="Aptos Narrow"/>
      <family val="2"/>
      <scheme val="minor"/>
    </font>
    <font>
      <sz val="11.5"/>
      <color theme="1"/>
      <name val="Aptos Narrow"/>
      <family val="2"/>
      <scheme val="minor"/>
    </font>
    <font>
      <sz val="8"/>
      <name val="Aptos Narrow"/>
      <family val="2"/>
      <scheme val="minor"/>
    </font>
    <font>
      <b/>
      <sz val="14"/>
      <color theme="0"/>
      <name val="Aptos Narrow"/>
      <family val="2"/>
      <scheme val="minor"/>
    </font>
    <font>
      <b/>
      <sz val="12"/>
      <color theme="6" tint="-0.249977111117893"/>
      <name val="Aptos Narrow"/>
      <family val="2"/>
      <scheme val="minor"/>
    </font>
    <font>
      <b/>
      <sz val="12"/>
      <color theme="4" tint="-0.499984740745262"/>
      <name val="Aptos Narrow"/>
      <family val="2"/>
      <scheme val="minor"/>
    </font>
    <font>
      <b/>
      <sz val="12"/>
      <color theme="3"/>
      <name val="Aptos Narrow"/>
      <family val="2"/>
      <scheme val="minor"/>
    </font>
    <font>
      <sz val="11"/>
      <color theme="1"/>
      <name val="Aptos Narrow"/>
      <family val="2"/>
      <scheme val="minor"/>
    </font>
    <font>
      <b/>
      <sz val="12"/>
      <color rgb="FFFFFFFF"/>
      <name val="Aptos Display"/>
      <family val="2"/>
    </font>
    <font>
      <b/>
      <sz val="9"/>
      <color rgb="FF6B7280"/>
      <name val="Arial"/>
      <family val="2"/>
    </font>
    <font>
      <b/>
      <sz val="22"/>
      <color rgb="FF0B2545"/>
      <name val="Arial"/>
      <family val="2"/>
    </font>
    <font>
      <b/>
      <sz val="10"/>
      <color rgb="FF0B2545"/>
      <name val="Arial"/>
      <family val="2"/>
    </font>
    <font>
      <i/>
      <sz val="9"/>
      <color rgb="FF6B7280"/>
      <name val="Arial"/>
      <family val="2"/>
    </font>
    <font>
      <b/>
      <sz val="9"/>
      <color rgb="FF156082"/>
      <name val="Arial"/>
      <family val="2"/>
    </font>
    <font>
      <b/>
      <sz val="9"/>
      <color rgb="FF0F9ED5"/>
      <name val="Arial"/>
      <family val="2"/>
    </font>
    <font>
      <b/>
      <sz val="9"/>
      <color rgb="FFA02B93"/>
      <name val="Arial"/>
      <family val="2"/>
    </font>
    <font>
      <b/>
      <sz val="9"/>
      <color rgb="FFE97132"/>
      <name val="Arial"/>
      <family val="2"/>
    </font>
    <font>
      <b/>
      <sz val="9"/>
      <color rgb="FFDC2626"/>
      <name val="Arial"/>
      <family val="2"/>
    </font>
    <font>
      <b/>
      <sz val="9"/>
      <color rgb="FF4EA72E"/>
      <name val="Arial"/>
      <family val="2"/>
    </font>
    <font>
      <b/>
      <sz val="16"/>
      <color rgb="FFFFFFFF"/>
      <name val="Aptos Display"/>
      <family val="2"/>
    </font>
    <font>
      <b/>
      <sz val="10"/>
      <color rgb="FF0B2545"/>
      <name val="Arial"/>
      <family val="2"/>
    </font>
    <font>
      <sz val="10"/>
      <color rgb="FF374151"/>
      <name val="Arial"/>
      <family val="2"/>
    </font>
    <font>
      <b/>
      <u/>
      <sz val="16"/>
      <color rgb="FF0B2545"/>
      <name val="Arial"/>
      <family val="2"/>
    </font>
    <font>
      <sz val="14"/>
      <color rgb="FFFFFFFF"/>
      <name val="Aptos Display"/>
      <family val="2"/>
    </font>
  </fonts>
  <fills count="11">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8" tint="-0.499984740745262"/>
        <bgColor indexed="64"/>
      </patternFill>
    </fill>
    <fill>
      <patternFill patternType="solid">
        <fgColor rgb="FF0B2545"/>
      </patternFill>
    </fill>
    <fill>
      <patternFill patternType="solid">
        <fgColor rgb="FF0B2E50"/>
        <bgColor indexed="64"/>
      </patternFill>
    </fill>
    <fill>
      <patternFill patternType="solid">
        <fgColor rgb="FF156082"/>
      </patternFill>
    </fill>
    <fill>
      <patternFill patternType="solid">
        <fgColor rgb="FFEDF1F6"/>
      </patternFill>
    </fill>
    <fill>
      <patternFill patternType="solid">
        <fgColor rgb="FFFFFFFF"/>
      </patternFill>
    </fill>
  </fills>
  <borders count="4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thick">
        <color rgb="FF0B2E50"/>
      </bottom>
      <diagonal/>
    </border>
    <border>
      <left style="thin">
        <color rgb="FFE5E7EB"/>
      </left>
      <right style="thin">
        <color rgb="FFE5E7EB"/>
      </right>
      <top style="thick">
        <color rgb="FF156082"/>
      </top>
      <bottom/>
      <diagonal/>
    </border>
    <border>
      <left/>
      <right style="thin">
        <color rgb="FFE5E7EB"/>
      </right>
      <top style="thick">
        <color rgb="FF156082"/>
      </top>
      <bottom/>
      <diagonal/>
    </border>
    <border>
      <left style="thin">
        <color rgb="FFE5E7EB"/>
      </left>
      <right style="thin">
        <color rgb="FFE5E7EB"/>
      </right>
      <top style="thick">
        <color rgb="FF4EA72E"/>
      </top>
      <bottom/>
      <diagonal/>
    </border>
    <border>
      <left/>
      <right style="thin">
        <color rgb="FFE5E7EB"/>
      </right>
      <top style="thick">
        <color rgb="FF4EA72E"/>
      </top>
      <bottom/>
      <diagonal/>
    </border>
    <border>
      <left style="thin">
        <color rgb="FFE5E7EB"/>
      </left>
      <right style="thin">
        <color rgb="FFE5E7EB"/>
      </right>
      <top style="thick">
        <color rgb="FFE97132"/>
      </top>
      <bottom/>
      <diagonal/>
    </border>
    <border>
      <left/>
      <right style="thin">
        <color rgb="FFE5E7EB"/>
      </right>
      <top style="thick">
        <color rgb="FFE97132"/>
      </top>
      <bottom/>
      <diagonal/>
    </border>
    <border>
      <left style="thin">
        <color rgb="FFE5E7EB"/>
      </left>
      <right style="thin">
        <color rgb="FFE5E7EB"/>
      </right>
      <top style="thick">
        <color rgb="FF0F9ED5"/>
      </top>
      <bottom/>
      <diagonal/>
    </border>
    <border>
      <left/>
      <right style="thin">
        <color rgb="FFE5E7EB"/>
      </right>
      <top style="thick">
        <color rgb="FF0F9ED5"/>
      </top>
      <bottom/>
      <diagonal/>
    </border>
    <border>
      <left style="thin">
        <color rgb="FFE5E7EB"/>
      </left>
      <right style="thin">
        <color rgb="FFE5E7EB"/>
      </right>
      <top style="thick">
        <color rgb="FFA02B93"/>
      </top>
      <bottom/>
      <diagonal/>
    </border>
    <border>
      <left/>
      <right style="thin">
        <color rgb="FFE5E7EB"/>
      </right>
      <top style="thick">
        <color rgb="FFA02B93"/>
      </top>
      <bottom/>
      <diagonal/>
    </border>
    <border>
      <left style="thin">
        <color rgb="FFE5E7EB"/>
      </left>
      <right style="thin">
        <color rgb="FFE5E7EB"/>
      </right>
      <top style="thick">
        <color rgb="FFDC2626"/>
      </top>
      <bottom/>
      <diagonal/>
    </border>
    <border>
      <left/>
      <right style="thin">
        <color rgb="FFE5E7EB"/>
      </right>
      <top style="thick">
        <color rgb="FFDC2626"/>
      </top>
      <bottom/>
      <diagonal/>
    </border>
    <border>
      <left style="thin">
        <color rgb="FFE5E7EB"/>
      </left>
      <right style="thin">
        <color rgb="FFE5E7EB"/>
      </right>
      <top/>
      <bottom/>
      <diagonal/>
    </border>
    <border>
      <left/>
      <right style="thin">
        <color rgb="FFE5E7EB"/>
      </right>
      <top/>
      <bottom/>
      <diagonal/>
    </border>
    <border>
      <left/>
      <right/>
      <top style="thick">
        <color rgb="FF156082"/>
      </top>
      <bottom/>
      <diagonal/>
    </border>
    <border>
      <left/>
      <right/>
      <top style="thick">
        <color rgb="FF0F9ED5"/>
      </top>
      <bottom/>
      <diagonal/>
    </border>
    <border>
      <left/>
      <right/>
      <top style="thick">
        <color rgb="FFA02B93"/>
      </top>
      <bottom/>
      <diagonal/>
    </border>
    <border>
      <left/>
      <right/>
      <top style="thick">
        <color rgb="FFE97132"/>
      </top>
      <bottom/>
      <diagonal/>
    </border>
    <border>
      <left/>
      <right/>
      <top style="thick">
        <color rgb="FFDC2626"/>
      </top>
      <bottom/>
      <diagonal/>
    </border>
    <border>
      <left/>
      <right/>
      <top style="thick">
        <color rgb="FF4EA72E"/>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ck">
        <color rgb="FF0B2E50"/>
      </bottom>
      <diagonal/>
    </border>
    <border>
      <left/>
      <right style="medium">
        <color indexed="64"/>
      </right>
      <top/>
      <bottom style="thick">
        <color rgb="FF0B2E50"/>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0" fillId="0" borderId="0"/>
  </cellStyleXfs>
  <cellXfs count="96">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2" xfId="0" applyBorder="1" applyAlignment="1">
      <alignment horizontal="center" vertical="center"/>
    </xf>
    <xf numFmtId="14" fontId="0" fillId="0" borderId="1" xfId="0" applyNumberFormat="1" applyBorder="1" applyAlignment="1">
      <alignment horizontal="center" vertical="center"/>
    </xf>
    <xf numFmtId="8" fontId="0" fillId="0" borderId="1" xfId="0" applyNumberFormat="1" applyBorder="1" applyAlignment="1">
      <alignment horizontal="center" vertical="center"/>
    </xf>
    <xf numFmtId="0" fontId="3" fillId="0" borderId="1" xfId="0" applyFont="1" applyBorder="1" applyAlignment="1">
      <alignment horizontal="center" vertical="center"/>
    </xf>
    <xf numFmtId="0" fontId="4" fillId="0" borderId="0" xfId="0" applyFont="1"/>
    <xf numFmtId="0" fontId="7" fillId="3" borderId="4" xfId="0" applyFont="1" applyFill="1" applyBorder="1" applyAlignment="1">
      <alignment horizontal="center" vertical="center"/>
    </xf>
    <xf numFmtId="0" fontId="8" fillId="4" borderId="4" xfId="0" applyFont="1" applyFill="1" applyBorder="1" applyAlignment="1">
      <alignment horizontal="center" vertical="center"/>
    </xf>
    <xf numFmtId="0" fontId="9" fillId="0" borderId="4" xfId="0" applyFont="1" applyBorder="1" applyAlignment="1">
      <alignment horizontal="center" vertical="center"/>
    </xf>
    <xf numFmtId="0" fontId="3" fillId="0" borderId="3" xfId="0" applyFont="1" applyBorder="1" applyAlignment="1">
      <alignment horizontal="center" vertical="center"/>
    </xf>
    <xf numFmtId="8" fontId="7" fillId="3" borderId="4" xfId="0" applyNumberFormat="1" applyFont="1" applyFill="1" applyBorder="1" applyAlignment="1">
      <alignment horizontal="center" vertical="center"/>
    </xf>
    <xf numFmtId="0" fontId="0" fillId="0" borderId="1" xfId="0" pivotButton="1" applyBorder="1" applyAlignment="1">
      <alignment horizontal="center" vertical="center"/>
    </xf>
    <xf numFmtId="0" fontId="0" fillId="0" borderId="1" xfId="0" pivotButton="1" applyBorder="1"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1" fillId="7" borderId="9" xfId="1" applyFont="1" applyFill="1" applyBorder="1" applyAlignment="1">
      <alignment horizontal="left"/>
    </xf>
    <xf numFmtId="0" fontId="0" fillId="0" borderId="0" xfId="0" applyAlignment="1">
      <alignment horizontal="center"/>
    </xf>
    <xf numFmtId="0" fontId="10" fillId="9" borderId="30" xfId="1" applyFill="1" applyBorder="1"/>
    <xf numFmtId="0" fontId="10" fillId="9" borderId="0" xfId="1" applyFill="1"/>
    <xf numFmtId="0" fontId="10" fillId="6" borderId="31" xfId="1" applyFill="1" applyBorder="1"/>
    <xf numFmtId="0" fontId="10" fillId="6" borderId="32" xfId="1" applyFill="1" applyBorder="1"/>
    <xf numFmtId="0" fontId="10" fillId="6" borderId="33" xfId="1" applyFill="1" applyBorder="1"/>
    <xf numFmtId="0" fontId="22" fillId="7" borderId="34" xfId="1" applyFont="1" applyFill="1" applyBorder="1" applyAlignment="1">
      <alignment horizontal="left"/>
    </xf>
    <xf numFmtId="0" fontId="11" fillId="7" borderId="0" xfId="1" applyFont="1" applyFill="1" applyAlignment="1">
      <alignment horizontal="left"/>
    </xf>
    <xf numFmtId="0" fontId="11" fillId="7" borderId="35" xfId="1" applyFont="1" applyFill="1" applyBorder="1" applyAlignment="1">
      <alignment horizontal="left"/>
    </xf>
    <xf numFmtId="0" fontId="22" fillId="7" borderId="36" xfId="1" applyFont="1" applyFill="1" applyBorder="1" applyAlignment="1">
      <alignment horizontal="left"/>
    </xf>
    <xf numFmtId="0" fontId="11" fillId="7" borderId="37" xfId="1" applyFont="1" applyFill="1" applyBorder="1" applyAlignment="1">
      <alignment horizontal="left"/>
    </xf>
    <xf numFmtId="0" fontId="10" fillId="6" borderId="34" xfId="1" applyFill="1" applyBorder="1"/>
    <xf numFmtId="0" fontId="10" fillId="6" borderId="0" xfId="1" applyFill="1"/>
    <xf numFmtId="0" fontId="10" fillId="6" borderId="35" xfId="1" applyFill="1" applyBorder="1"/>
    <xf numFmtId="0" fontId="10" fillId="8" borderId="34" xfId="1" applyFill="1" applyBorder="1"/>
    <xf numFmtId="0" fontId="10" fillId="8" borderId="0" xfId="1" applyFill="1"/>
    <xf numFmtId="0" fontId="10" fillId="8" borderId="35" xfId="1" applyFill="1" applyBorder="1"/>
    <xf numFmtId="0" fontId="10" fillId="9" borderId="34" xfId="1" applyFill="1" applyBorder="1"/>
    <xf numFmtId="0" fontId="10" fillId="9" borderId="35" xfId="1" applyFill="1" applyBorder="1"/>
    <xf numFmtId="0" fontId="10" fillId="9" borderId="34" xfId="1" applyFill="1" applyBorder="1" applyAlignment="1">
      <alignment horizontal="center"/>
    </xf>
    <xf numFmtId="0" fontId="10" fillId="9" borderId="0" xfId="1" applyFill="1" applyAlignment="1">
      <alignment horizontal="center"/>
    </xf>
    <xf numFmtId="0" fontId="10" fillId="9" borderId="35" xfId="1" applyFill="1" applyBorder="1" applyAlignment="1">
      <alignment horizontal="center"/>
    </xf>
    <xf numFmtId="0" fontId="23" fillId="9" borderId="0" xfId="1" applyFont="1" applyFill="1" applyAlignment="1">
      <alignment vertical="center"/>
    </xf>
    <xf numFmtId="0" fontId="15" fillId="9" borderId="0" xfId="1" applyFont="1" applyFill="1" applyAlignment="1">
      <alignment vertical="center"/>
    </xf>
    <xf numFmtId="0" fontId="10" fillId="9" borderId="38" xfId="1" applyFill="1" applyBorder="1"/>
    <xf numFmtId="0" fontId="10" fillId="9" borderId="39" xfId="1" applyFill="1" applyBorder="1"/>
    <xf numFmtId="0" fontId="14" fillId="9" borderId="0" xfId="1" applyFont="1" applyFill="1" applyAlignment="1">
      <alignment vertical="center"/>
    </xf>
    <xf numFmtId="0" fontId="25" fillId="9" borderId="0" xfId="1" applyFont="1" applyFill="1" applyAlignment="1">
      <alignment horizontal="center" vertical="center"/>
    </xf>
    <xf numFmtId="0" fontId="24" fillId="10" borderId="0" xfId="1" applyFont="1" applyFill="1" applyAlignment="1">
      <alignment horizontal="left" vertical="top" wrapText="1"/>
    </xf>
    <xf numFmtId="0" fontId="19" fillId="10" borderId="14" xfId="1" applyFont="1" applyFill="1" applyBorder="1" applyAlignment="1">
      <alignment horizontal="left" vertical="center" indent="1"/>
    </xf>
    <xf numFmtId="0" fontId="10" fillId="0" borderId="27" xfId="1" applyBorder="1"/>
    <xf numFmtId="0" fontId="10" fillId="0" borderId="15" xfId="1" applyBorder="1"/>
    <xf numFmtId="0" fontId="20" fillId="10" borderId="20" xfId="1" applyFont="1" applyFill="1" applyBorder="1" applyAlignment="1">
      <alignment horizontal="left" vertical="center" indent="1"/>
    </xf>
    <xf numFmtId="0" fontId="10" fillId="0" borderId="28" xfId="1" applyBorder="1"/>
    <xf numFmtId="0" fontId="10" fillId="0" borderId="21" xfId="1" applyBorder="1"/>
    <xf numFmtId="0" fontId="21" fillId="10" borderId="12" xfId="1" applyFont="1" applyFill="1" applyBorder="1" applyAlignment="1">
      <alignment horizontal="left" vertical="center" indent="1"/>
    </xf>
    <xf numFmtId="0" fontId="10" fillId="0" borderId="29" xfId="1" applyBorder="1"/>
    <xf numFmtId="0" fontId="10" fillId="0" borderId="13" xfId="1" applyBorder="1"/>
    <xf numFmtId="0" fontId="16" fillId="10" borderId="10" xfId="1" applyFont="1" applyFill="1" applyBorder="1" applyAlignment="1">
      <alignment horizontal="left" vertical="center" indent="1"/>
    </xf>
    <xf numFmtId="0" fontId="10" fillId="0" borderId="24" xfId="1" applyBorder="1"/>
    <xf numFmtId="0" fontId="10" fillId="0" borderId="11" xfId="1" applyBorder="1"/>
    <xf numFmtId="0" fontId="17" fillId="10" borderId="16" xfId="1" applyFont="1" applyFill="1" applyBorder="1" applyAlignment="1">
      <alignment horizontal="left" vertical="center" indent="1"/>
    </xf>
    <xf numFmtId="0" fontId="10" fillId="0" borderId="25" xfId="1" applyBorder="1"/>
    <xf numFmtId="0" fontId="10" fillId="0" borderId="17" xfId="1" applyBorder="1"/>
    <xf numFmtId="0" fontId="18" fillId="10" borderId="18" xfId="1" applyFont="1" applyFill="1" applyBorder="1" applyAlignment="1">
      <alignment horizontal="left" vertical="center" indent="1"/>
    </xf>
    <xf numFmtId="0" fontId="10" fillId="0" borderId="26" xfId="1" applyBorder="1"/>
    <xf numFmtId="0" fontId="10" fillId="0" borderId="19" xfId="1" applyBorder="1"/>
    <xf numFmtId="0" fontId="12" fillId="10" borderId="18" xfId="1" applyFont="1" applyFill="1" applyBorder="1" applyAlignment="1">
      <alignment horizontal="left" vertical="center" indent="1"/>
    </xf>
    <xf numFmtId="0" fontId="12" fillId="10" borderId="20" xfId="1" applyFont="1" applyFill="1" applyBorder="1" applyAlignment="1">
      <alignment horizontal="left" vertical="center" indent="1"/>
    </xf>
    <xf numFmtId="165" fontId="13" fillId="10" borderId="22" xfId="1" applyNumberFormat="1" applyFont="1" applyFill="1" applyBorder="1" applyAlignment="1">
      <alignment horizontal="center" vertical="center"/>
    </xf>
    <xf numFmtId="0" fontId="10" fillId="0" borderId="23" xfId="1" applyBorder="1" applyAlignment="1">
      <alignment horizontal="center"/>
    </xf>
    <xf numFmtId="166" fontId="13" fillId="10" borderId="22" xfId="1" applyNumberFormat="1" applyFont="1" applyFill="1" applyBorder="1" applyAlignment="1">
      <alignment horizontal="center" vertical="center"/>
    </xf>
    <xf numFmtId="3" fontId="13" fillId="10" borderId="22" xfId="1" applyNumberFormat="1" applyFont="1" applyFill="1" applyBorder="1" applyAlignment="1">
      <alignment horizontal="center" vertical="center"/>
    </xf>
    <xf numFmtId="167" fontId="13" fillId="10" borderId="22" xfId="1" applyNumberFormat="1" applyFont="1" applyFill="1" applyBorder="1" applyAlignment="1">
      <alignment horizontal="center" vertical="center"/>
    </xf>
    <xf numFmtId="0" fontId="13" fillId="10" borderId="22" xfId="1" applyFont="1" applyFill="1" applyBorder="1" applyAlignment="1">
      <alignment horizontal="center" vertical="center"/>
    </xf>
    <xf numFmtId="0" fontId="22" fillId="7" borderId="0" xfId="1" applyFont="1" applyFill="1" applyAlignment="1">
      <alignment horizontal="left" vertical="center"/>
    </xf>
    <xf numFmtId="0" fontId="22" fillId="7" borderId="0" xfId="1" applyFont="1" applyFill="1" applyAlignment="1">
      <alignment horizontal="left"/>
    </xf>
    <xf numFmtId="0" fontId="12" fillId="10" borderId="10" xfId="1" applyFont="1" applyFill="1" applyBorder="1" applyAlignment="1">
      <alignment horizontal="left" vertical="center" indent="1"/>
    </xf>
    <xf numFmtId="0" fontId="12" fillId="10" borderId="12" xfId="1" applyFont="1" applyFill="1" applyBorder="1" applyAlignment="1">
      <alignment horizontal="left" vertical="center" indent="1"/>
    </xf>
    <xf numFmtId="0" fontId="12" fillId="10" borderId="14" xfId="1" applyFont="1" applyFill="1" applyBorder="1" applyAlignment="1">
      <alignment horizontal="left" vertical="center" indent="1"/>
    </xf>
    <xf numFmtId="0" fontId="12" fillId="10" borderId="16" xfId="1" applyFont="1" applyFill="1" applyBorder="1" applyAlignment="1">
      <alignment horizontal="left" vertical="center" indent="1"/>
    </xf>
    <xf numFmtId="0" fontId="26" fillId="7" borderId="9" xfId="1" applyFont="1" applyFill="1" applyBorder="1" applyAlignment="1">
      <alignment horizontal="left" vertical="center"/>
    </xf>
    <xf numFmtId="0" fontId="2" fillId="5" borderId="4" xfId="0" applyFont="1" applyFill="1" applyBorder="1" applyAlignment="1">
      <alignment horizontal="center" vertical="center"/>
    </xf>
    <xf numFmtId="8" fontId="1" fillId="5" borderId="4" xfId="0" applyNumberFormat="1" applyFont="1" applyFill="1" applyBorder="1" applyAlignment="1">
      <alignment horizontal="center" vertical="center"/>
    </xf>
    <xf numFmtId="0" fontId="6" fillId="2" borderId="4" xfId="0" applyFont="1" applyFill="1" applyBorder="1" applyAlignment="1">
      <alignment horizontal="center"/>
    </xf>
    <xf numFmtId="10" fontId="1" fillId="5" borderId="4" xfId="0" applyNumberFormat="1" applyFont="1" applyFill="1" applyBorder="1" applyAlignment="1">
      <alignment horizontal="center" vertical="center"/>
    </xf>
    <xf numFmtId="0" fontId="1"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8" fontId="1" fillId="5" borderId="5" xfId="0" applyNumberFormat="1" applyFont="1" applyFill="1" applyBorder="1" applyAlignment="1">
      <alignment horizontal="center" vertical="center"/>
    </xf>
    <xf numFmtId="8" fontId="1" fillId="5" borderId="6" xfId="0" applyNumberFormat="1"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xf numFmtId="0" fontId="0" fillId="0" borderId="1" xfId="0" applyNumberFormat="1" applyBorder="1" applyAlignment="1">
      <alignment horizontal="center"/>
    </xf>
  </cellXfs>
  <cellStyles count="2">
    <cellStyle name="Normal" xfId="0" builtinId="0"/>
    <cellStyle name="Normal 2" xfId="1" xr:uid="{26B9EC9A-2467-43B2-A6E5-B80EE2F7C7C9}"/>
  </cellStyles>
  <dxfs count="735">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2" formatCode="&quot;₹&quot;\ #,##0.00;[Red]&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2" formatCode="&quot;₹&quot;\ #,##0.00;[Red]&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bottom style="thin">
          <color indexed="64"/>
        </bottom>
      </border>
    </dxf>
    <dxf>
      <font>
        <b/>
        <strike val="0"/>
        <outline val="0"/>
        <shadow val="0"/>
        <u val="none"/>
        <vertAlign val="baseline"/>
        <sz val="11.5"/>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[Ayush_ExcelDashboard.xlsx]Pivot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kern="1200" baseline="0">
                <a:solidFill>
                  <a:srgbClr val="0B2545"/>
                </a:solidFill>
                <a:latin typeface="Arial"/>
              </a:rPr>
              <a:t>Orders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Table'!$D$2:$D$9</c:f>
              <c:strCache>
                <c:ptCount val="7"/>
                <c:pt idx="0">
                  <c:v>Stationery</c:v>
                </c:pt>
                <c:pt idx="1">
                  <c:v>Sports</c:v>
                </c:pt>
                <c:pt idx="2">
                  <c:v>Furniture</c:v>
                </c:pt>
                <c:pt idx="3">
                  <c:v>Beauty</c:v>
                </c:pt>
                <c:pt idx="4">
                  <c:v>Fashion</c:v>
                </c:pt>
                <c:pt idx="5">
                  <c:v>Home &amp; Kitchen</c:v>
                </c:pt>
                <c:pt idx="6">
                  <c:v>Electronics</c:v>
                </c:pt>
              </c:strCache>
            </c:strRef>
          </c:cat>
          <c:val>
            <c:numRef>
              <c:f>'Pivot Table'!$E$2:$E$9</c:f>
              <c:numCache>
                <c:formatCode>General</c:formatCode>
                <c:ptCount val="7"/>
                <c:pt idx="0">
                  <c:v>72</c:v>
                </c:pt>
                <c:pt idx="1">
                  <c:v>85</c:v>
                </c:pt>
                <c:pt idx="2">
                  <c:v>91</c:v>
                </c:pt>
                <c:pt idx="3">
                  <c:v>92</c:v>
                </c:pt>
                <c:pt idx="4">
                  <c:v>118</c:v>
                </c:pt>
                <c:pt idx="5">
                  <c:v>159</c:v>
                </c:pt>
                <c:pt idx="6">
                  <c:v>182</c:v>
                </c:pt>
              </c:numCache>
            </c:numRef>
          </c:val>
          <c:extLst>
            <c:ext xmlns:c16="http://schemas.microsoft.com/office/drawing/2014/chart" uri="{C3380CC4-5D6E-409C-BE32-E72D297353CC}">
              <c16:uniqueId val="{00000000-E0DB-4EF6-AB1C-D773C20372CD}"/>
            </c:ext>
          </c:extLst>
        </c:ser>
        <c:dLbls>
          <c:dLblPos val="outEnd"/>
          <c:showLegendKey val="0"/>
          <c:showVal val="1"/>
          <c:showCatName val="0"/>
          <c:showSerName val="0"/>
          <c:showPercent val="0"/>
          <c:showBubbleSize val="0"/>
        </c:dLbls>
        <c:gapWidth val="100"/>
        <c:overlap val="-24"/>
        <c:axId val="547699679"/>
        <c:axId val="364288719"/>
      </c:barChart>
      <c:catAx>
        <c:axId val="547699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4288719"/>
        <c:crosses val="autoZero"/>
        <c:auto val="1"/>
        <c:lblAlgn val="ctr"/>
        <c:lblOffset val="100"/>
        <c:noMultiLvlLbl val="0"/>
      </c:catAx>
      <c:valAx>
        <c:axId val="364288719"/>
        <c:scaling>
          <c:orientation val="minMax"/>
        </c:scaling>
        <c:delete val="1"/>
        <c:axPos val="l"/>
        <c:numFmt formatCode="General" sourceLinked="1"/>
        <c:majorTickMark val="none"/>
        <c:minorTickMark val="none"/>
        <c:tickLblPos val="nextTo"/>
        <c:crossAx val="5476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[Ayush_ExcelDashboard.xlsx]Pivot Table!PivotTable5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kern="1200" baseline="0">
                <a:solidFill>
                  <a:srgbClr val="0B2545"/>
                </a:solidFill>
                <a:latin typeface="Arial"/>
              </a:rPr>
              <a:t>Orders by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CC0000"/>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CC0000"/>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CC0000"/>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Table'!$H$14</c:f>
              <c:strCache>
                <c:ptCount val="1"/>
                <c:pt idx="0">
                  <c:v>Total</c:v>
                </c:pt>
              </c:strCache>
            </c:strRef>
          </c:tx>
          <c:dPt>
            <c:idx val="0"/>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1A9-49A7-9034-21A5C6938113}"/>
              </c:ext>
            </c:extLst>
          </c:dPt>
          <c:dPt>
            <c:idx val="1"/>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1A9-49A7-9034-21A5C6938113}"/>
              </c:ext>
            </c:extLst>
          </c:dPt>
          <c:dPt>
            <c:idx val="2"/>
            <c:bubble3D val="0"/>
            <c:spPr>
              <a:solidFill>
                <a:srgbClr val="CC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1A9-49A7-9034-21A5C6938113}"/>
              </c:ext>
            </c:extLst>
          </c:dPt>
          <c:dPt>
            <c:idx val="3"/>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1A9-49A7-9034-21A5C693811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Table'!$G$15:$G$19</c:f>
              <c:strCache>
                <c:ptCount val="4"/>
                <c:pt idx="0">
                  <c:v>Completed</c:v>
                </c:pt>
                <c:pt idx="1">
                  <c:v>Pending</c:v>
                </c:pt>
                <c:pt idx="2">
                  <c:v>Cancelled</c:v>
                </c:pt>
                <c:pt idx="3">
                  <c:v>Returned</c:v>
                </c:pt>
              </c:strCache>
            </c:strRef>
          </c:cat>
          <c:val>
            <c:numRef>
              <c:f>'Pivot Table'!$H$15:$H$19</c:f>
              <c:numCache>
                <c:formatCode>General</c:formatCode>
                <c:ptCount val="4"/>
                <c:pt idx="0">
                  <c:v>588</c:v>
                </c:pt>
                <c:pt idx="1">
                  <c:v>81</c:v>
                </c:pt>
                <c:pt idx="2">
                  <c:v>80</c:v>
                </c:pt>
                <c:pt idx="3">
                  <c:v>50</c:v>
                </c:pt>
              </c:numCache>
            </c:numRef>
          </c:val>
          <c:extLst>
            <c:ext xmlns:c16="http://schemas.microsoft.com/office/drawing/2014/chart" uri="{C3380CC4-5D6E-409C-BE32-E72D297353CC}">
              <c16:uniqueId val="{00000008-C1A9-49A7-9034-21A5C693811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[Ayush_ExcelDashboard.xlsx]Pivot Table!PivotTable8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Orders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4591051841062"/>
          <c:y val="0.14144915695913682"/>
          <c:w val="0.72985062127349687"/>
          <c:h val="0.79772794500866273"/>
        </c:manualLayout>
      </c:layout>
      <c:barChart>
        <c:barDir val="bar"/>
        <c:grouping val="clustered"/>
        <c:varyColors val="0"/>
        <c:ser>
          <c:idx val="0"/>
          <c:order val="0"/>
          <c:tx>
            <c:strRef>
              <c:f>'Pivot Table'!$L$1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Table'!$K$2:$K$12</c:f>
              <c:strCache>
                <c:ptCount val="10"/>
                <c:pt idx="0">
                  <c:v>Study Desk</c:v>
                </c:pt>
                <c:pt idx="1">
                  <c:v>Office Chair</c:v>
                </c:pt>
                <c:pt idx="2">
                  <c:v>Coffee Maker</c:v>
                </c:pt>
                <c:pt idx="3">
                  <c:v>Smart Watch</c:v>
                </c:pt>
                <c:pt idx="4">
                  <c:v>Mechanical Keyboard</c:v>
                </c:pt>
                <c:pt idx="5">
                  <c:v>Bluetooth Speaker</c:v>
                </c:pt>
                <c:pt idx="6">
                  <c:v>Hair Dryer</c:v>
                </c:pt>
                <c:pt idx="7">
                  <c:v>Cricket Bat</c:v>
                </c:pt>
                <c:pt idx="8">
                  <c:v>Running Shoes</c:v>
                </c:pt>
                <c:pt idx="9">
                  <c:v>USB-C Hub</c:v>
                </c:pt>
              </c:strCache>
            </c:strRef>
          </c:cat>
          <c:val>
            <c:numRef>
              <c:f>'Pivot Table'!$L$2:$L$12</c:f>
              <c:numCache>
                <c:formatCode>"₹"#,##0.00_);[Red]\("₹"#,##0.00\)</c:formatCode>
                <c:ptCount val="10"/>
                <c:pt idx="0">
                  <c:v>1744262.55</c:v>
                </c:pt>
                <c:pt idx="1">
                  <c:v>1072432.6000000001</c:v>
                </c:pt>
                <c:pt idx="2">
                  <c:v>514112.00000000012</c:v>
                </c:pt>
                <c:pt idx="3">
                  <c:v>476559.80000000005</c:v>
                </c:pt>
                <c:pt idx="4">
                  <c:v>346363.95</c:v>
                </c:pt>
                <c:pt idx="5">
                  <c:v>314794.7</c:v>
                </c:pt>
                <c:pt idx="6">
                  <c:v>309601.30000000005</c:v>
                </c:pt>
                <c:pt idx="7">
                  <c:v>309237.65000000008</c:v>
                </c:pt>
                <c:pt idx="8">
                  <c:v>268230.2</c:v>
                </c:pt>
                <c:pt idx="9">
                  <c:v>261401.79999999996</c:v>
                </c:pt>
              </c:numCache>
            </c:numRef>
          </c:val>
          <c:extLst>
            <c:ext xmlns:c16="http://schemas.microsoft.com/office/drawing/2014/chart" uri="{C3380CC4-5D6E-409C-BE32-E72D297353CC}">
              <c16:uniqueId val="{00000000-C805-4817-B503-B2BDD1FD1DBD}"/>
            </c:ext>
          </c:extLst>
        </c:ser>
        <c:dLbls>
          <c:dLblPos val="outEnd"/>
          <c:showLegendKey val="0"/>
          <c:showVal val="1"/>
          <c:showCatName val="0"/>
          <c:showSerName val="0"/>
          <c:showPercent val="0"/>
          <c:showBubbleSize val="0"/>
        </c:dLbls>
        <c:gapWidth val="100"/>
        <c:overlap val="-24"/>
        <c:axId val="541041999"/>
        <c:axId val="636608271"/>
      </c:barChart>
      <c:catAx>
        <c:axId val="5410419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6608271"/>
        <c:crosses val="autoZero"/>
        <c:auto val="1"/>
        <c:lblAlgn val="ctr"/>
        <c:lblOffset val="100"/>
        <c:noMultiLvlLbl val="0"/>
      </c:catAx>
      <c:valAx>
        <c:axId val="636608271"/>
        <c:scaling>
          <c:orientation val="minMax"/>
        </c:scaling>
        <c:delete val="1"/>
        <c:axPos val="b"/>
        <c:numFmt formatCode="&quot;₹&quot;#,##0.00_);[Red]\(&quot;₹&quot;#,##0.00\)" sourceLinked="1"/>
        <c:majorTickMark val="none"/>
        <c:minorTickMark val="none"/>
        <c:tickLblPos val="nextTo"/>
        <c:crossAx val="54104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[Ayush_ExcelDashboard.xlsx]Pivot Table!PivotTable6</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kern="1200" baseline="0">
                <a:solidFill>
                  <a:srgbClr val="0B2545"/>
                </a:solidFill>
                <a:latin typeface="Arial"/>
              </a:rPr>
              <a:t>Orders by Payment Mode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Table'!$E$12</c:f>
              <c:strCache>
                <c:ptCount val="1"/>
                <c:pt idx="0">
                  <c:v>Total</c:v>
                </c:pt>
              </c:strCache>
            </c:strRef>
          </c:tx>
          <c:explosion val="2"/>
          <c:dPt>
            <c:idx val="0"/>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286-472B-BD63-19467EF9F14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286-472B-BD63-19467EF9F144}"/>
              </c:ext>
            </c:extLst>
          </c:dPt>
          <c:dPt>
            <c:idx val="2"/>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286-472B-BD63-19467EF9F144}"/>
              </c:ext>
            </c:extLst>
          </c:dPt>
          <c:dPt>
            <c:idx val="3"/>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286-472B-BD63-19467EF9F14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286-472B-BD63-19467EF9F1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Table'!$D$13:$D$18</c:f>
              <c:strCache>
                <c:ptCount val="5"/>
                <c:pt idx="0">
                  <c:v>Cash</c:v>
                </c:pt>
                <c:pt idx="1">
                  <c:v>Credit Card</c:v>
                </c:pt>
                <c:pt idx="2">
                  <c:v>Debit Card</c:v>
                </c:pt>
                <c:pt idx="3">
                  <c:v>Net Banking</c:v>
                </c:pt>
                <c:pt idx="4">
                  <c:v>UPI</c:v>
                </c:pt>
              </c:strCache>
            </c:strRef>
          </c:cat>
          <c:val>
            <c:numRef>
              <c:f>'Pivot Table'!$E$13:$E$18</c:f>
              <c:numCache>
                <c:formatCode>General</c:formatCode>
                <c:ptCount val="5"/>
                <c:pt idx="0">
                  <c:v>170</c:v>
                </c:pt>
                <c:pt idx="1">
                  <c:v>166</c:v>
                </c:pt>
                <c:pt idx="2">
                  <c:v>158</c:v>
                </c:pt>
                <c:pt idx="3">
                  <c:v>162</c:v>
                </c:pt>
                <c:pt idx="4">
                  <c:v>143</c:v>
                </c:pt>
              </c:numCache>
            </c:numRef>
          </c:val>
          <c:extLst>
            <c:ext xmlns:c16="http://schemas.microsoft.com/office/drawing/2014/chart" uri="{C3380CC4-5D6E-409C-BE32-E72D297353CC}">
              <c16:uniqueId val="{0000000A-A286-472B-BD63-19467EF9F14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[Ayush_ExcelDashboard.xlsx]Pivot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kern="1200" baseline="0">
                <a:solidFill>
                  <a:srgbClr val="0B2545"/>
                </a:solidFill>
                <a:latin typeface="Arial"/>
              </a:rPr>
              <a:t>Monthly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1587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1587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1587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15875">
                <a:solidFill>
                  <a:schemeClr val="accent1"/>
                </a:solidFill>
                <a:round/>
              </a:ln>
              <a:effectLst>
                <a:outerShdw blurRad="57150" dist="19050" dir="5400000" algn="ctr" rotWithShape="0">
                  <a:srgbClr val="000000">
                    <a:alpha val="63000"/>
                  </a:srgbClr>
                </a:outerShdw>
              </a:effectLst>
            </c:spPr>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"₹"#,##0.00_);[Red]\("₹"#,##0.00\)</c:formatCode>
                <c:ptCount val="12"/>
                <c:pt idx="0">
                  <c:v>568603.39999999991</c:v>
                </c:pt>
                <c:pt idx="1">
                  <c:v>409730.9</c:v>
                </c:pt>
                <c:pt idx="2">
                  <c:v>683203.55</c:v>
                </c:pt>
                <c:pt idx="3">
                  <c:v>479137.00000000006</c:v>
                </c:pt>
                <c:pt idx="4">
                  <c:v>484355.65</c:v>
                </c:pt>
                <c:pt idx="5">
                  <c:v>471561.15000000014</c:v>
                </c:pt>
                <c:pt idx="6">
                  <c:v>660978.45000000019</c:v>
                </c:pt>
                <c:pt idx="7">
                  <c:v>409893.2</c:v>
                </c:pt>
                <c:pt idx="8">
                  <c:v>623376.60000000021</c:v>
                </c:pt>
                <c:pt idx="9">
                  <c:v>567291.69999999972</c:v>
                </c:pt>
                <c:pt idx="10">
                  <c:v>621739.30000000016</c:v>
                </c:pt>
                <c:pt idx="11">
                  <c:v>756696.70000000007</c:v>
                </c:pt>
              </c:numCache>
            </c:numRef>
          </c:val>
          <c:smooth val="0"/>
          <c:extLst>
            <c:ext xmlns:c16="http://schemas.microsoft.com/office/drawing/2014/chart" uri="{C3380CC4-5D6E-409C-BE32-E72D297353CC}">
              <c16:uniqueId val="{00000000-9501-4354-8F25-DD3DA53C913C}"/>
            </c:ext>
          </c:extLst>
        </c:ser>
        <c:dLbls>
          <c:showLegendKey val="0"/>
          <c:showVal val="0"/>
          <c:showCatName val="0"/>
          <c:showSerName val="0"/>
          <c:showPercent val="0"/>
          <c:showBubbleSize val="0"/>
        </c:dLbls>
        <c:marker val="1"/>
        <c:smooth val="0"/>
        <c:axId val="547702927"/>
        <c:axId val="636533871"/>
      </c:lineChart>
      <c:catAx>
        <c:axId val="54770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6533871"/>
        <c:crosses val="autoZero"/>
        <c:auto val="1"/>
        <c:lblAlgn val="ctr"/>
        <c:lblOffset val="100"/>
        <c:noMultiLvlLbl val="0"/>
      </c:catAx>
      <c:valAx>
        <c:axId val="636533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770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[Ayush_ExcelDashboard.xlsx]Pivot Table!PivotTable9</c:name>
    <c:fmtId val="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600" b="1" i="0" u="none" strike="noStrike" cap="none" normalizeH="0" baseline="0">
                <a:solidFill>
                  <a:schemeClr val="tx1"/>
                </a:solidFill>
              </a:rPr>
              <a:t>Top 10 Customers by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rgbClr val="00B050">
              <a:alpha val="70000"/>
            </a:srgbClr>
          </a:solidFill>
          <a:ln>
            <a:noFill/>
          </a:ln>
          <a:effectLst/>
        </c:spPr>
        <c:marker>
          <c:symbol val="circle"/>
          <c:size val="6"/>
          <c:spPr>
            <a:solidFill>
              <a:schemeClr val="accent1">
                <a:alpha val="70000"/>
              </a:schemeClr>
            </a:solidFill>
            <a:ln>
              <a:noFill/>
            </a:ln>
            <a:effectLst/>
          </c:spPr>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alpha val="70000"/>
            </a:srgbClr>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450101542737"/>
          <c:y val="0.12983592568170357"/>
          <c:w val="0.82996811201767196"/>
          <c:h val="0.76145068073387379"/>
        </c:manualLayout>
      </c:layout>
      <c:barChart>
        <c:barDir val="col"/>
        <c:grouping val="clustered"/>
        <c:varyColors val="0"/>
        <c:ser>
          <c:idx val="0"/>
          <c:order val="0"/>
          <c:tx>
            <c:strRef>
              <c:f>'Pivot Table'!$B$17</c:f>
              <c:strCache>
                <c:ptCount val="1"/>
                <c:pt idx="0">
                  <c:v>Total</c:v>
                </c:pt>
              </c:strCache>
            </c:strRef>
          </c:tx>
          <c:spPr>
            <a:solidFill>
              <a:srgbClr val="00B050">
                <a:alpha val="70000"/>
              </a:srgbClr>
            </a:solidFill>
            <a:ln>
              <a:noFill/>
            </a:ln>
            <a:effectLst/>
          </c:spPr>
          <c:invertIfNegative val="0"/>
          <c:cat>
            <c:strRef>
              <c:f>'Pivot Table'!$A$18:$A$28</c:f>
              <c:strCache>
                <c:ptCount val="10"/>
                <c:pt idx="0">
                  <c:v>Dhruv Prajapati</c:v>
                </c:pt>
                <c:pt idx="1">
                  <c:v>Nisha Kumar</c:v>
                </c:pt>
                <c:pt idx="2">
                  <c:v>Krishna Joshi</c:v>
                </c:pt>
                <c:pt idx="3">
                  <c:v>Nisha Nair</c:v>
                </c:pt>
                <c:pt idx="4">
                  <c:v>Aarav Shah</c:v>
                </c:pt>
                <c:pt idx="5">
                  <c:v>Ishaan Patel</c:v>
                </c:pt>
                <c:pt idx="6">
                  <c:v>Ishaan Mehta</c:v>
                </c:pt>
                <c:pt idx="7">
                  <c:v>Aditya Rao</c:v>
                </c:pt>
                <c:pt idx="8">
                  <c:v>Reyansh Sharma</c:v>
                </c:pt>
                <c:pt idx="9">
                  <c:v>Dev Rao</c:v>
                </c:pt>
              </c:strCache>
            </c:strRef>
          </c:cat>
          <c:val>
            <c:numRef>
              <c:f>'Pivot Table'!$B$18:$B$28</c:f>
              <c:numCache>
                <c:formatCode>"₹"#,##0.00_);[Red]\("₹"#,##0.00\)</c:formatCode>
                <c:ptCount val="10"/>
                <c:pt idx="0">
                  <c:v>160108.55000000002</c:v>
                </c:pt>
                <c:pt idx="1">
                  <c:v>159836.4</c:v>
                </c:pt>
                <c:pt idx="2">
                  <c:v>137793.75</c:v>
                </c:pt>
                <c:pt idx="3">
                  <c:v>133201.15000000002</c:v>
                </c:pt>
                <c:pt idx="4">
                  <c:v>131625.25</c:v>
                </c:pt>
                <c:pt idx="5">
                  <c:v>119888.45</c:v>
                </c:pt>
                <c:pt idx="6">
                  <c:v>116768.80000000002</c:v>
                </c:pt>
                <c:pt idx="7">
                  <c:v>116516.2</c:v>
                </c:pt>
                <c:pt idx="8">
                  <c:v>114636.54999999999</c:v>
                </c:pt>
                <c:pt idx="9">
                  <c:v>111053.4</c:v>
                </c:pt>
              </c:numCache>
            </c:numRef>
          </c:val>
          <c:extLst>
            <c:ext xmlns:c16="http://schemas.microsoft.com/office/drawing/2014/chart" uri="{C3380CC4-5D6E-409C-BE32-E72D297353CC}">
              <c16:uniqueId val="{00000000-D41F-4BFD-8CCC-86EFABBA040F}"/>
            </c:ext>
          </c:extLst>
        </c:ser>
        <c:dLbls>
          <c:showLegendKey val="0"/>
          <c:showVal val="0"/>
          <c:showCatName val="0"/>
          <c:showSerName val="0"/>
          <c:showPercent val="0"/>
          <c:showBubbleSize val="0"/>
        </c:dLbls>
        <c:gapWidth val="80"/>
        <c:overlap val="25"/>
        <c:axId val="637714191"/>
        <c:axId val="636526671"/>
      </c:barChart>
      <c:catAx>
        <c:axId val="637714191"/>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n-US"/>
          </a:p>
        </c:txPr>
        <c:crossAx val="636526671"/>
        <c:crosses val="autoZero"/>
        <c:auto val="1"/>
        <c:lblAlgn val="ctr"/>
        <c:lblOffset val="100"/>
        <c:noMultiLvlLbl val="0"/>
      </c:catAx>
      <c:valAx>
        <c:axId val="636526671"/>
        <c:scaling>
          <c:orientation val="minMax"/>
        </c:scaling>
        <c:delete val="0"/>
        <c:axPos val="l"/>
        <c:majorGridlines>
          <c:spPr>
            <a:ln w="9525" cap="flat" cmpd="sng" algn="ctr">
              <a:solidFill>
                <a:schemeClr val="tx1">
                  <a:lumMod val="5000"/>
                  <a:lumOff val="95000"/>
                </a:schemeClr>
              </a:solidFill>
              <a:round/>
            </a:ln>
            <a:effectLst/>
          </c:spPr>
        </c:majorGridlines>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3771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[Ayush_ExcelDashboard.xlsx]Pivot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7661245952502"/>
          <c:y val="0.13659420289855073"/>
          <c:w val="0.72247585031252548"/>
          <c:h val="0.80543478260869583"/>
        </c:manualLayout>
      </c:layout>
      <c:barChart>
        <c:barDir val="bar"/>
        <c:grouping val="clustered"/>
        <c:varyColors val="0"/>
        <c:ser>
          <c:idx val="0"/>
          <c:order val="0"/>
          <c:tx>
            <c:strRef>
              <c:f>'Pivot 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Table'!$G$2:$G$12</c:f>
              <c:strCache>
                <c:ptCount val="10"/>
                <c:pt idx="0">
                  <c:v>Kerala</c:v>
                </c:pt>
                <c:pt idx="1">
                  <c:v>Tamil Nadu</c:v>
                </c:pt>
                <c:pt idx="2">
                  <c:v>Delhi</c:v>
                </c:pt>
                <c:pt idx="3">
                  <c:v>Uttar Pradesh</c:v>
                </c:pt>
                <c:pt idx="4">
                  <c:v>Telangana</c:v>
                </c:pt>
                <c:pt idx="5">
                  <c:v>Madhya Pradesh</c:v>
                </c:pt>
                <c:pt idx="6">
                  <c:v>Rajasthan</c:v>
                </c:pt>
                <c:pt idx="7">
                  <c:v>Karnataka</c:v>
                </c:pt>
                <c:pt idx="8">
                  <c:v>Gujarat</c:v>
                </c:pt>
                <c:pt idx="9">
                  <c:v>Maharashtra</c:v>
                </c:pt>
              </c:strCache>
            </c:strRef>
          </c:cat>
          <c:val>
            <c:numRef>
              <c:f>'Pivot Table'!$H$2:$H$12</c:f>
              <c:numCache>
                <c:formatCode>"₹"#,##0.00_);[Red]\("₹"#,##0.00\)</c:formatCode>
                <c:ptCount val="10"/>
                <c:pt idx="0">
                  <c:v>273730.84999999998</c:v>
                </c:pt>
                <c:pt idx="1">
                  <c:v>404079.40000000008</c:v>
                </c:pt>
                <c:pt idx="2">
                  <c:v>408158.60000000003</c:v>
                </c:pt>
                <c:pt idx="3">
                  <c:v>421864</c:v>
                </c:pt>
                <c:pt idx="4">
                  <c:v>449421.60000000003</c:v>
                </c:pt>
                <c:pt idx="5">
                  <c:v>741113.80000000028</c:v>
                </c:pt>
                <c:pt idx="6">
                  <c:v>754445.85000000009</c:v>
                </c:pt>
                <c:pt idx="7">
                  <c:v>893502.69999999972</c:v>
                </c:pt>
                <c:pt idx="8">
                  <c:v>1136672.3499999999</c:v>
                </c:pt>
                <c:pt idx="9">
                  <c:v>1253578.4500000002</c:v>
                </c:pt>
              </c:numCache>
            </c:numRef>
          </c:val>
          <c:extLst>
            <c:ext xmlns:c16="http://schemas.microsoft.com/office/drawing/2014/chart" uri="{C3380CC4-5D6E-409C-BE32-E72D297353CC}">
              <c16:uniqueId val="{00000000-7866-450C-9138-4E14B981823D}"/>
            </c:ext>
          </c:extLst>
        </c:ser>
        <c:dLbls>
          <c:dLblPos val="outEnd"/>
          <c:showLegendKey val="0"/>
          <c:showVal val="1"/>
          <c:showCatName val="0"/>
          <c:showSerName val="0"/>
          <c:showPercent val="0"/>
          <c:showBubbleSize val="0"/>
        </c:dLbls>
        <c:gapWidth val="182"/>
        <c:axId val="547699215"/>
        <c:axId val="636554511"/>
      </c:barChart>
      <c:catAx>
        <c:axId val="54769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6554511"/>
        <c:crosses val="autoZero"/>
        <c:auto val="1"/>
        <c:lblAlgn val="ctr"/>
        <c:lblOffset val="100"/>
        <c:noMultiLvlLbl val="0"/>
      </c:catAx>
      <c:valAx>
        <c:axId val="636554511"/>
        <c:scaling>
          <c:orientation val="minMax"/>
        </c:scaling>
        <c:delete val="1"/>
        <c:axPos val="b"/>
        <c:numFmt formatCode="&quot;₹&quot;#,##0.00_);[Red]\(&quot;₹&quot;#,##0.00\)" sourceLinked="1"/>
        <c:majorTickMark val="none"/>
        <c:minorTickMark val="none"/>
        <c:tickLblPos val="nextTo"/>
        <c:crossAx val="54769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9</xdr:col>
      <xdr:colOff>165100</xdr:colOff>
      <xdr:row>37</xdr:row>
      <xdr:rowOff>152400</xdr:rowOff>
    </xdr:to>
    <xdr:graphicFrame macro="">
      <xdr:nvGraphicFramePr>
        <xdr:cNvPr id="13" name="Chart 12">
          <a:extLst>
            <a:ext uri="{FF2B5EF4-FFF2-40B4-BE49-F238E27FC236}">
              <a16:creationId xmlns:a16="http://schemas.microsoft.com/office/drawing/2014/main" id="{06DBEAB9-19CD-47A1-B206-56E2CC0A4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330200</xdr:colOff>
      <xdr:row>20</xdr:row>
      <xdr:rowOff>12700</xdr:rowOff>
    </xdr:from>
    <xdr:to>
      <xdr:col>18</xdr:col>
      <xdr:colOff>139700</xdr:colOff>
      <xdr:row>37</xdr:row>
      <xdr:rowOff>165100</xdr:rowOff>
    </xdr:to>
    <xdr:graphicFrame macro="">
      <xdr:nvGraphicFramePr>
        <xdr:cNvPr id="14" name="Chart 13">
          <a:extLst>
            <a:ext uri="{FF2B5EF4-FFF2-40B4-BE49-F238E27FC236}">
              <a16:creationId xmlns:a16="http://schemas.microsoft.com/office/drawing/2014/main" id="{97730215-FC32-4F99-8723-A48D86010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58</xdr:row>
      <xdr:rowOff>171450</xdr:rowOff>
    </xdr:from>
    <xdr:to>
      <xdr:col>9</xdr:col>
      <xdr:colOff>152400</xdr:colOff>
      <xdr:row>79</xdr:row>
      <xdr:rowOff>177800</xdr:rowOff>
    </xdr:to>
    <xdr:graphicFrame macro="">
      <xdr:nvGraphicFramePr>
        <xdr:cNvPr id="15" name="Chart 14">
          <a:extLst>
            <a:ext uri="{FF2B5EF4-FFF2-40B4-BE49-F238E27FC236}">
              <a16:creationId xmlns:a16="http://schemas.microsoft.com/office/drawing/2014/main" id="{2210A67F-2909-45F9-BFE7-AF7395360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336550</xdr:colOff>
      <xdr:row>38</xdr:row>
      <xdr:rowOff>127000</xdr:rowOff>
    </xdr:from>
    <xdr:to>
      <xdr:col>18</xdr:col>
      <xdr:colOff>127000</xdr:colOff>
      <xdr:row>58</xdr:row>
      <xdr:rowOff>0</xdr:rowOff>
    </xdr:to>
    <xdr:graphicFrame macro="">
      <xdr:nvGraphicFramePr>
        <xdr:cNvPr id="16" name="Chart 15">
          <a:extLst>
            <a:ext uri="{FF2B5EF4-FFF2-40B4-BE49-F238E27FC236}">
              <a16:creationId xmlns:a16="http://schemas.microsoft.com/office/drawing/2014/main" id="{E0B1DB95-C471-4B59-A2F6-8C2FDE8E3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12700</xdr:colOff>
      <xdr:row>80</xdr:row>
      <xdr:rowOff>171450</xdr:rowOff>
    </xdr:from>
    <xdr:to>
      <xdr:col>17</xdr:col>
      <xdr:colOff>406400</xdr:colOff>
      <xdr:row>100</xdr:row>
      <xdr:rowOff>19050</xdr:rowOff>
    </xdr:to>
    <xdr:graphicFrame macro="">
      <xdr:nvGraphicFramePr>
        <xdr:cNvPr id="17" name="Chart 16">
          <a:extLst>
            <a:ext uri="{FF2B5EF4-FFF2-40B4-BE49-F238E27FC236}">
              <a16:creationId xmlns:a16="http://schemas.microsoft.com/office/drawing/2014/main" id="{A24BFDE7-FC15-41E2-BBBC-1E6D08292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323850</xdr:colOff>
      <xdr:row>58</xdr:row>
      <xdr:rowOff>177800</xdr:rowOff>
    </xdr:from>
    <xdr:to>
      <xdr:col>18</xdr:col>
      <xdr:colOff>133350</xdr:colOff>
      <xdr:row>79</xdr:row>
      <xdr:rowOff>177800</xdr:rowOff>
    </xdr:to>
    <xdr:graphicFrame macro="">
      <xdr:nvGraphicFramePr>
        <xdr:cNvPr id="18" name="Chart 17">
          <a:extLst>
            <a:ext uri="{FF2B5EF4-FFF2-40B4-BE49-F238E27FC236}">
              <a16:creationId xmlns:a16="http://schemas.microsoft.com/office/drawing/2014/main" id="{F41B945B-BFA1-4295-A37A-4A9BCC903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190500</xdr:colOff>
      <xdr:row>38</xdr:row>
      <xdr:rowOff>139700</xdr:rowOff>
    </xdr:from>
    <xdr:to>
      <xdr:col>9</xdr:col>
      <xdr:colOff>177800</xdr:colOff>
      <xdr:row>57</xdr:row>
      <xdr:rowOff>146050</xdr:rowOff>
    </xdr:to>
    <xdr:graphicFrame macro="">
      <xdr:nvGraphicFramePr>
        <xdr:cNvPr id="19" name="Chart 18">
          <a:extLst>
            <a:ext uri="{FF2B5EF4-FFF2-40B4-BE49-F238E27FC236}">
              <a16:creationId xmlns:a16="http://schemas.microsoft.com/office/drawing/2014/main" id="{59ADC2AB-DACF-486D-85A0-7EA280A25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6350</xdr:colOff>
      <xdr:row>11</xdr:row>
      <xdr:rowOff>6350</xdr:rowOff>
    </xdr:from>
    <xdr:to>
      <xdr:col>7</xdr:col>
      <xdr:colOff>184150</xdr:colOff>
      <xdr:row>18</xdr:row>
      <xdr:rowOff>88900</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CA8A7DEB-3202-4B3C-AF12-2A6088438C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3200" y="2159000"/>
              <a:ext cx="41846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11</xdr:row>
      <xdr:rowOff>6350</xdr:rowOff>
    </xdr:from>
    <xdr:to>
      <xdr:col>16</xdr:col>
      <xdr:colOff>266700</xdr:colOff>
      <xdr:row>18</xdr:row>
      <xdr:rowOff>107950</xdr:rowOff>
    </xdr:to>
    <mc:AlternateContent xmlns:mc="http://schemas.openxmlformats.org/markup-compatibility/2006" xmlns:a14="http://schemas.microsoft.com/office/drawing/2010/main">
      <mc:Choice Requires="a14">
        <xdr:graphicFrame macro="">
          <xdr:nvGraphicFramePr>
            <xdr:cNvPr id="21" name="City">
              <a:extLst>
                <a:ext uri="{FF2B5EF4-FFF2-40B4-BE49-F238E27FC236}">
                  <a16:creationId xmlns:a16="http://schemas.microsoft.com/office/drawing/2014/main" id="{7B042A1F-9BEF-4542-A7C5-2DD59CFE63B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737100" y="2159000"/>
              <a:ext cx="549275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Donga" refreshedDate="46310.940482175924" createdVersion="8" refreshedVersion="8" minRefreshableVersion="3" recordCount="799" xr:uid="{0A5C82F0-E0D6-4255-82A8-DC57FA14F137}">
  <cacheSource type="worksheet">
    <worksheetSource name="data"/>
  </cacheSource>
  <cacheFields count="18">
    <cacheField name="Order ID" numFmtId="0">
      <sharedItems/>
    </cacheField>
    <cacheField name="Order Date" numFmtId="14">
      <sharedItems containsSemiMixedTypes="0" containsNonDate="0" containsDate="1" containsString="0" minDate="2025-01-01T00:00:00" maxDate="2026-01-01T00:00:00" count="321">
        <d v="2025-10-12T00:00:00"/>
        <d v="2025-06-10T00:00:00"/>
        <d v="2025-02-05T00:00:00"/>
        <d v="2025-08-03T00:00:00"/>
        <d v="2025-12-10T00:00:00"/>
        <d v="2025-10-03T00:00:00"/>
        <d v="2025-10-06T00:00:00"/>
        <d v="2025-10-11T00:00:00"/>
        <d v="2025-01-27T00:00:00"/>
        <d v="2025-10-10T00:00:00"/>
        <d v="2025-10-26T00:00:00"/>
        <d v="2025-12-16T00:00:00"/>
        <d v="2025-07-31T00:00:00"/>
        <d v="2025-02-25T00:00:00"/>
        <d v="2025-04-09T00:00:00"/>
        <d v="2025-06-19T00:00:00"/>
        <d v="2025-12-18T00:00:00"/>
        <d v="2025-06-03T00:00:00"/>
        <d v="2025-07-14T00:00:00"/>
        <d v="2025-10-24T00:00:00"/>
        <d v="2025-03-28T00:00:00"/>
        <d v="2025-01-13T00:00:00"/>
        <d v="2025-07-16T00:00:00"/>
        <d v="2025-04-01T00:00:00"/>
        <d v="2025-12-08T00:00:00"/>
        <d v="2025-08-17T00:00:00"/>
        <d v="2025-05-21T00:00:00"/>
        <d v="2025-04-29T00:00:00"/>
        <d v="2025-08-04T00:00:00"/>
        <d v="2025-07-27T00:00:00"/>
        <d v="2025-03-11T00:00:00"/>
        <d v="2025-05-23T00:00:00"/>
        <d v="2025-11-30T00:00:00"/>
        <d v="2025-10-16T00:00:00"/>
        <d v="2025-06-09T00:00:00"/>
        <d v="2025-05-05T00:00:00"/>
        <d v="2025-09-17T00:00:00"/>
        <d v="2025-12-29T00:00:00"/>
        <d v="2025-10-31T00:00:00"/>
        <d v="2025-12-26T00:00:00"/>
        <d v="2025-12-20T00:00:00"/>
        <d v="2025-07-08T00:00:00"/>
        <d v="2025-06-06T00:00:00"/>
        <d v="2025-09-05T00:00:00"/>
        <d v="2025-02-22T00:00:00"/>
        <d v="2025-02-28T00:00:00"/>
        <d v="2025-06-05T00:00:00"/>
        <d v="2025-08-19T00:00:00"/>
        <d v="2025-04-17T00:00:00"/>
        <d v="2025-05-16T00:00:00"/>
        <d v="2025-01-31T00:00:00"/>
        <d v="2025-09-14T00:00:00"/>
        <d v="2025-02-16T00:00:00"/>
        <d v="2025-10-27T00:00:00"/>
        <d v="2025-07-30T00:00:00"/>
        <d v="2025-07-26T00:00:00"/>
        <d v="2025-11-17T00:00:00"/>
        <d v="2025-03-04T00:00:00"/>
        <d v="2025-08-25T00:00:00"/>
        <d v="2025-08-22T00:00:00"/>
        <d v="2025-08-01T00:00:00"/>
        <d v="2025-09-08T00:00:00"/>
        <d v="2025-04-07T00:00:00"/>
        <d v="2025-07-17T00:00:00"/>
        <d v="2025-02-21T00:00:00"/>
        <d v="2025-06-23T00:00:00"/>
        <d v="2025-10-05T00:00:00"/>
        <d v="2025-03-16T00:00:00"/>
        <d v="2025-09-12T00:00:00"/>
        <d v="2025-05-28T00:00:00"/>
        <d v="2025-06-01T00:00:00"/>
        <d v="2025-12-04T00:00:00"/>
        <d v="2025-03-26T00:00:00"/>
        <d v="2025-12-13T00:00:00"/>
        <d v="2025-12-11T00:00:00"/>
        <d v="2025-10-15T00:00:00"/>
        <d v="2025-12-23T00:00:00"/>
        <d v="2025-01-17T00:00:00"/>
        <d v="2025-11-25T00:00:00"/>
        <d v="2025-05-09T00:00:00"/>
        <d v="2025-03-31T00:00:00"/>
        <d v="2025-09-20T00:00:00"/>
        <d v="2025-01-16T00:00:00"/>
        <d v="2025-06-14T00:00:00"/>
        <d v="2025-11-02T00:00:00"/>
        <d v="2025-08-09T00:00:00"/>
        <d v="2025-12-07T00:00:00"/>
        <d v="2025-07-10T00:00:00"/>
        <d v="2025-06-29T00:00:00"/>
        <d v="2025-11-11T00:00:00"/>
        <d v="2025-01-04T00:00:00"/>
        <d v="2025-04-21T00:00:00"/>
        <d v="2025-09-06T00:00:00"/>
        <d v="2025-12-14T00:00:00"/>
        <d v="2025-06-04T00:00:00"/>
        <d v="2025-09-30T00:00:00"/>
        <d v="2025-02-09T00:00:00"/>
        <d v="2025-03-29T00:00:00"/>
        <d v="2025-07-22T00:00:00"/>
        <d v="2025-06-28T00:00:00"/>
        <d v="2025-02-08T00:00:00"/>
        <d v="2025-06-11T00:00:00"/>
        <d v="2025-02-13T00:00:00"/>
        <d v="2025-07-06T00:00:00"/>
        <d v="2025-10-13T00:00:00"/>
        <d v="2025-02-11T00:00:00"/>
        <d v="2025-06-08T00:00:00"/>
        <d v="2025-08-05T00:00:00"/>
        <d v="2025-01-20T00:00:00"/>
        <d v="2025-08-18T00:00:00"/>
        <d v="2025-05-25T00:00:00"/>
        <d v="2025-05-20T00:00:00"/>
        <d v="2025-01-28T00:00:00"/>
        <d v="2025-11-29T00:00:00"/>
        <d v="2025-09-28T00:00:00"/>
        <d v="2025-08-23T00:00:00"/>
        <d v="2025-09-27T00:00:00"/>
        <d v="2025-01-09T00:00:00"/>
        <d v="2025-03-10T00:00:00"/>
        <d v="2025-11-20T00:00:00"/>
        <d v="2025-12-02T00:00:00"/>
        <d v="2025-10-07T00:00:00"/>
        <d v="2025-03-27T00:00:00"/>
        <d v="2025-11-08T00:00:00"/>
        <d v="2025-07-23T00:00:00"/>
        <d v="2025-03-02T00:00:00"/>
        <d v="2025-02-07T00:00:00"/>
        <d v="2025-07-04T00:00:00"/>
        <d v="2025-09-03T00:00:00"/>
        <d v="2025-06-26T00:00:00"/>
        <d v="2025-03-20T00:00:00"/>
        <d v="2025-10-23T00:00:00"/>
        <d v="2025-04-15T00:00:00"/>
        <d v="2025-09-21T00:00:00"/>
        <d v="2025-07-05T00:00:00"/>
        <d v="2025-12-15T00:00:00"/>
        <d v="2025-03-15T00:00:00"/>
        <d v="2025-02-26T00:00:00"/>
        <d v="2025-04-08T00:00:00"/>
        <d v="2025-08-30T00:00:00"/>
        <d v="2025-03-30T00:00:00"/>
        <d v="2025-05-07T00:00:00"/>
        <d v="2025-10-14T00:00:00"/>
        <d v="2025-02-10T00:00:00"/>
        <d v="2025-07-28T00:00:00"/>
        <d v="2025-05-26T00:00:00"/>
        <d v="2025-03-25T00:00:00"/>
        <d v="2025-06-15T00:00:00"/>
        <d v="2025-10-21T00:00:00"/>
        <d v="2025-09-15T00:00:00"/>
        <d v="2025-11-07T00:00:00"/>
        <d v="2025-12-25T00:00:00"/>
        <d v="2025-11-27T00:00:00"/>
        <d v="2025-02-27T00:00:00"/>
        <d v="2025-04-30T00:00:00"/>
        <d v="2025-11-26T00:00:00"/>
        <d v="2025-08-31T00:00:00"/>
        <d v="2025-07-18T00:00:00"/>
        <d v="2025-04-22T00:00:00"/>
        <d v="2025-07-03T00:00:00"/>
        <d v="2025-12-17T00:00:00"/>
        <d v="2025-01-25T00:00:00"/>
        <d v="2025-11-14T00:00:00"/>
        <d v="2025-01-05T00:00:00"/>
        <d v="2025-12-03T00:00:00"/>
        <d v="2025-11-01T00:00:00"/>
        <d v="2025-04-06T00:00:00"/>
        <d v="2025-11-21T00:00:00"/>
        <d v="2025-07-01T00:00:00"/>
        <d v="2025-04-13T00:00:00"/>
        <d v="2025-06-16T00:00:00"/>
        <d v="2025-01-14T00:00:00"/>
        <d v="2025-01-23T00:00:00"/>
        <d v="2025-03-23T00:00:00"/>
        <d v="2025-02-02T00:00:00"/>
        <d v="2025-11-13T00:00:00"/>
        <d v="2025-07-11T00:00:00"/>
        <d v="2025-11-22T00:00:00"/>
        <d v="2025-04-26T00:00:00"/>
        <d v="2025-05-02T00:00:00"/>
        <d v="2025-10-19T00:00:00"/>
        <d v="2025-02-17T00:00:00"/>
        <d v="2025-06-22T00:00:00"/>
        <d v="2025-02-06T00:00:00"/>
        <d v="2025-03-19T00:00:00"/>
        <d v="2025-08-08T00:00:00"/>
        <d v="2025-05-03T00:00:00"/>
        <d v="2025-12-31T00:00:00"/>
        <d v="2025-05-13T00:00:00"/>
        <d v="2025-10-20T00:00:00"/>
        <d v="2025-08-27T00:00:00"/>
        <d v="2025-11-15T00:00:00"/>
        <d v="2025-06-07T00:00:00"/>
        <d v="2025-07-21T00:00:00"/>
        <d v="2025-08-20T00:00:00"/>
        <d v="2025-11-05T00:00:00"/>
        <d v="2025-11-12T00:00:00"/>
        <d v="2025-10-17T00:00:00"/>
        <d v="2025-01-30T00:00:00"/>
        <d v="2025-01-29T00:00:00"/>
        <d v="2025-12-27T00:00:00"/>
        <d v="2025-09-09T00:00:00"/>
        <d v="2025-04-14T00:00:00"/>
        <d v="2025-11-24T00:00:00"/>
        <d v="2025-12-19T00:00:00"/>
        <d v="2025-06-12T00:00:00"/>
        <d v="2025-01-01T00:00:00"/>
        <d v="2025-12-22T00:00:00"/>
        <d v="2025-01-11T00:00:00"/>
        <d v="2025-08-15T00:00:00"/>
        <d v="2025-04-12T00:00:00"/>
        <d v="2025-11-28T00:00:00"/>
        <d v="2025-04-04T00:00:00"/>
        <d v="2025-03-12T00:00:00"/>
        <d v="2025-06-20T00:00:00"/>
        <d v="2025-10-01T00:00:00"/>
        <d v="2025-06-02T00:00:00"/>
        <d v="2025-10-29T00:00:00"/>
        <d v="2025-08-02T00:00:00"/>
        <d v="2025-02-24T00:00:00"/>
        <d v="2025-03-24T00:00:00"/>
        <d v="2025-04-25T00:00:00"/>
        <d v="2025-04-24T00:00:00"/>
        <d v="2025-09-10T00:00:00"/>
        <d v="2025-01-03T00:00:00"/>
        <d v="2025-03-07T00:00:00"/>
        <d v="2025-10-08T00:00:00"/>
        <d v="2025-12-30T00:00:00"/>
        <d v="2025-05-11T00:00:00"/>
        <d v="2025-02-04T00:00:00"/>
        <d v="2025-09-22T00:00:00"/>
        <d v="2025-02-19T00:00:00"/>
        <d v="2025-02-23T00:00:00"/>
        <d v="2025-02-14T00:00:00"/>
        <d v="2025-08-13T00:00:00"/>
        <d v="2025-09-07T00:00:00"/>
        <d v="2025-06-18T00:00:00"/>
        <d v="2025-04-19T00:00:00"/>
        <d v="2025-05-29T00:00:00"/>
        <d v="2025-09-23T00:00:00"/>
        <d v="2025-01-21T00:00:00"/>
        <d v="2025-11-23T00:00:00"/>
        <d v="2025-11-04T00:00:00"/>
        <d v="2025-04-28T00:00:00"/>
        <d v="2025-07-15T00:00:00"/>
        <d v="2025-07-29T00:00:00"/>
        <d v="2025-08-11T00:00:00"/>
        <d v="2025-03-22T00:00:00"/>
        <d v="2025-07-13T00:00:00"/>
        <d v="2025-03-01T00:00:00"/>
        <d v="2025-09-01T00:00:00"/>
        <d v="2025-05-01T00:00:00"/>
        <d v="2025-03-03T00:00:00"/>
        <d v="2025-10-22T00:00:00"/>
        <d v="2025-09-02T00:00:00"/>
        <d v="2025-08-06T00:00:00"/>
        <d v="2025-03-18T00:00:00"/>
        <d v="2025-04-27T00:00:00"/>
        <d v="2025-10-28T00:00:00"/>
        <d v="2025-10-04T00:00:00"/>
        <d v="2025-05-15T00:00:00"/>
        <d v="2025-01-10T00:00:00"/>
        <d v="2025-04-03T00:00:00"/>
        <d v="2025-11-19T00:00:00"/>
        <d v="2025-07-07T00:00:00"/>
        <d v="2025-11-16T00:00:00"/>
        <d v="2025-01-12T00:00:00"/>
        <d v="2025-06-21T00:00:00"/>
        <d v="2025-02-12T00:00:00"/>
        <d v="2025-09-26T00:00:00"/>
        <d v="2025-03-21T00:00:00"/>
        <d v="2025-10-18T00:00:00"/>
        <d v="2025-12-21T00:00:00"/>
        <d v="2025-11-09T00:00:00"/>
        <d v="2025-10-09T00:00:00"/>
        <d v="2025-04-10T00:00:00"/>
        <d v="2025-06-13T00:00:00"/>
        <d v="2025-04-16T00:00:00"/>
        <d v="2025-02-03T00:00:00"/>
        <d v="2025-12-06T00:00:00"/>
        <d v="2025-12-05T00:00:00"/>
        <d v="2025-07-09T00:00:00"/>
        <d v="2025-11-06T00:00:00"/>
        <d v="2025-05-14T00:00:00"/>
        <d v="2025-05-24T00:00:00"/>
        <d v="2025-05-04T00:00:00"/>
        <d v="2025-08-07T00:00:00"/>
        <d v="2025-09-25T00:00:00"/>
        <d v="2025-01-24T00:00:00"/>
        <d v="2025-08-21T00:00:00"/>
        <d v="2025-08-16T00:00:00"/>
        <d v="2025-06-25T00:00:00"/>
        <d v="2025-12-24T00:00:00"/>
        <d v="2025-10-25T00:00:00"/>
        <d v="2025-05-31T00:00:00"/>
        <d v="2025-01-22T00:00:00"/>
        <d v="2025-03-17T00:00:00"/>
        <d v="2025-03-13T00:00:00"/>
        <d v="2025-10-30T00:00:00"/>
        <d v="2025-11-03T00:00:00"/>
        <d v="2025-01-15T00:00:00"/>
        <d v="2025-06-30T00:00:00"/>
        <d v="2025-04-02T00:00:00"/>
        <d v="2025-07-25T00:00:00"/>
        <d v="2025-11-18T00:00:00"/>
        <d v="2025-06-17T00:00:00"/>
        <d v="2025-09-11T00:00:00"/>
        <d v="2025-05-17T00:00:00"/>
        <d v="2025-06-27T00:00:00"/>
        <d v="2025-08-26T00:00:00"/>
        <d v="2025-11-10T00:00:00"/>
        <d v="2025-12-28T00:00:00"/>
        <d v="2025-05-18T00:00:00"/>
        <d v="2025-06-24T00:00:00"/>
        <d v="2025-05-10T00:00:00"/>
        <d v="2025-03-06T00:00:00"/>
        <d v="2025-08-29T00:00:00"/>
        <d v="2025-01-26T00:00:00"/>
        <d v="2025-02-20T00:00:00"/>
        <d v="2025-05-06T00:00:00"/>
        <d v="2025-02-01T00:00:00"/>
      </sharedItems>
      <fieldGroup par="17"/>
    </cacheField>
    <cacheField name="Customer ID" numFmtId="0">
      <sharedItems/>
    </cacheField>
    <cacheField name="Customer Name" numFmtId="0">
      <sharedItems count="144">
        <s v="Aarav Shah"/>
        <s v="Rohan Verma"/>
        <s v="Kiara Nair"/>
        <s v="Dev Prajapati"/>
        <s v="Aditya Iyer"/>
        <s v="Dhruv Sharma"/>
        <s v="Vivaan Prajapati"/>
        <s v="Ishaan Prajapati"/>
        <s v="Aadhya Shah"/>
        <s v="Kiara Trivedi"/>
        <s v="Krishna Desai"/>
        <s v="Rohan Reddy"/>
        <s v="Dev Shah"/>
        <s v="Krishna Rao"/>
        <s v="Meera Desai"/>
        <s v="Kavya Nair"/>
        <s v="Vivaan Desai"/>
        <s v="Sara Iyer"/>
        <s v="Krishna Iyer"/>
        <s v="Myra Trivedi"/>
        <s v="Nisha Kumar"/>
        <s v="Meera Patel"/>
        <s v="Diya Nair"/>
        <s v="Sara Sharma"/>
        <s v="Ishaan Patel"/>
        <s v="Vihaan Nair"/>
        <s v="Kavya Shah"/>
        <s v="Sai Verma"/>
        <s v="Vihaan Prajapati"/>
        <s v="Dhruv Prajapati"/>
        <s v="Nisha Iyer"/>
        <s v="Aadhya Iyer"/>
        <s v="Ishaan Verma"/>
        <s v="Dev Desai"/>
        <s v="Anaya Rao"/>
        <s v="Kiara Singh"/>
        <s v="Arjun Desai"/>
        <s v="Aarav Kumar"/>
        <s v="Dev Joshi"/>
        <s v="Meera Nair"/>
        <s v="Reyansh Kumar"/>
        <s v="Aditya Sharma"/>
        <s v="Ishaan Mehta"/>
        <s v="Riya Singh"/>
        <s v="Anaya Mehta"/>
        <s v="Reyansh Desai"/>
        <s v="Myra Joshi"/>
        <s v="Ishaan Shah"/>
        <s v="Vivaan Rao"/>
        <s v="Riya Joshi"/>
        <s v="Vihaan Trivedi"/>
        <s v="Priya Shah"/>
        <s v="Diya Shah"/>
        <s v="Ishaan Singh"/>
        <s v="Vihaan Desai"/>
        <s v="Aditya Desai"/>
        <s v="Kavya Trivedi"/>
        <s v="Sara Desai"/>
        <s v="Priya Rao"/>
        <s v="Vivaan Mehta"/>
        <s v="Meera Iyer"/>
        <s v="Ira Nair"/>
        <s v="Ira Desai"/>
        <s v="Sai Joshi"/>
        <s v="Vihaan Shah"/>
        <s v="Kiara Reddy"/>
        <s v="Arjun Joshi"/>
        <s v="Nisha Nair"/>
        <s v="Aditya Rao"/>
        <s v="Dhruv Singh"/>
        <s v="Anaya Kumar"/>
        <s v="Anaya Sharma"/>
        <s v="Priya Joshi"/>
        <s v="Priya Reddy"/>
        <s v="Dhruv Mehta"/>
        <s v="Dev Rao"/>
        <s v="Aarav Rao"/>
        <s v="Aditya Singh"/>
        <s v="Priya Trivedi"/>
        <s v="Aadhya Nair"/>
        <s v="Dhruv Verma"/>
        <s v="Vivaan Nair"/>
        <s v="Dhruv Reddy"/>
        <s v="Krishna Joshi"/>
        <s v="Arjun Verma"/>
        <s v="Priya Patel"/>
        <s v="Dev Sharma"/>
        <s v="Ira Rao"/>
        <s v="Dev Mehta"/>
        <s v="Diya Desai"/>
        <s v="Dhruv Shah"/>
        <s v="Aarav Singh"/>
        <s v="Arjun Mehta"/>
        <s v="Priya Singh"/>
        <s v="Nisha Trivedi"/>
        <s v="Reyansh Sharma"/>
        <s v="Vihaan Reddy"/>
        <s v="Vivaan Kumar"/>
        <s v="Kavya Singh"/>
        <s v="Anaya Desai"/>
        <s v="Dhruv Patel"/>
        <s v="Vihaan Mehta"/>
        <s v="Vivaan Patel"/>
        <s v="Reyansh Trivedi"/>
        <s v="Rohan Kumar"/>
        <s v="Riya Patel"/>
        <s v="Aarav Sharma"/>
        <s v="Kiara Iyer"/>
        <s v="Riya Nair"/>
        <s v="Riya Verma"/>
        <s v="Anaya Trivedi"/>
        <s v="Aditya Nair"/>
        <s v="Myra Shah"/>
        <s v="Aadhya Patel"/>
        <s v="Krishna Trivedi"/>
        <s v="Meera Shah"/>
        <s v="Sara Reddy"/>
        <s v="Sara Trivedi"/>
        <s v="Sai Sharma"/>
        <s v="Ira Shah"/>
        <s v="Riya Desai"/>
        <s v="Anaya Verma"/>
        <s v="Nisha Reddy"/>
        <s v="Priya Sharma"/>
        <s v="Arjun Nair"/>
        <s v="Anaya Shah"/>
        <s v="Myra Nair"/>
        <s v="Dhruv Iyer"/>
        <s v="Dev Iyer"/>
        <s v="Reyansh Rao"/>
        <s v="Kiara Desai"/>
        <s v="Aditya Patel"/>
        <s v="Vihaan Joshi"/>
        <s v="Myra Patel"/>
        <s v="Nisha Sharma"/>
        <s v="Nisha Desai"/>
        <s v="Kavya Verma"/>
        <s v="Priya Verma"/>
        <s v="Dhruv Joshi"/>
        <s v="Ira Prajapati"/>
        <s v="Anaya Iyer"/>
        <s v="Vivaan Sharma"/>
        <s v="Arjun Reddy"/>
        <s v="Kiara Mehta"/>
      </sharedItems>
    </cacheField>
    <cacheField name="City" numFmtId="0">
      <sharedItems count="18">
        <s v="Indore"/>
        <s v="Ahmedabad"/>
        <s v="Vadodara"/>
        <s v="Bhopal"/>
        <s v="Delhi"/>
        <s v="Udaipur"/>
        <s v="Chennai"/>
        <s v="Lucknow"/>
        <s v="Mumbai"/>
        <s v="Rajkot"/>
        <s v="Pune"/>
        <s v="Bengaluru"/>
        <s v="Jaipur"/>
        <s v="Hyderabad"/>
        <s v="Surat"/>
        <s v="Kochi"/>
        <s v="Nashik"/>
        <s v="Mysuru"/>
      </sharedItems>
    </cacheField>
    <cacheField name="State" numFmtId="0">
      <sharedItems count="10">
        <s v="Madhya Pradesh"/>
        <s v="Gujarat"/>
        <s v="Delhi"/>
        <s v="Rajasthan"/>
        <s v="Tamil Nadu"/>
        <s v="Uttar Pradesh"/>
        <s v="Maharashtra"/>
        <s v="Karnataka"/>
        <s v="Telangana"/>
        <s v="Kerala"/>
      </sharedItems>
    </cacheField>
    <cacheField name="Product ID" numFmtId="0">
      <sharedItems/>
    </cacheField>
    <cacheField name="Product Name" numFmtId="0">
      <sharedItems count="20">
        <s v="Smart Watch"/>
        <s v="Hair Dryer"/>
        <s v="Backpack"/>
        <s v="Desk Lamp"/>
        <s v="Study Desk"/>
        <s v="Water Bottle"/>
        <s v="Wireless Mouse"/>
        <s v="Coffee Maker"/>
        <s v="Office Chair"/>
        <s v="Notebook Set"/>
        <s v="Yoga Mat"/>
        <s v="USB-C Hub"/>
        <s v="Lunch Box"/>
        <s v="Running Shoes"/>
        <s v="Mechanical Keyboard"/>
        <s v="Bluetooth Speaker"/>
        <s v="Cotton T-Shirt"/>
        <s v="Cricket Bat"/>
        <s v="Face Serum"/>
        <s v="Gel Pen Pack"/>
      </sharedItems>
    </cacheField>
    <cacheField name="Category" numFmtId="0">
      <sharedItems count="7">
        <s v="Electronics"/>
        <s v="Beauty"/>
        <s v="Fashion"/>
        <s v="Home &amp; Kitchen"/>
        <s v="Furniture"/>
        <s v="Stationery"/>
        <s v="Sports"/>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34" maxValue="8799"/>
    </cacheField>
    <cacheField name="Sales Amount" numFmtId="8">
      <sharedItems containsSemiMixedTypes="0" containsString="0" containsNumber="1" minValue="107.2" maxValue="63992"/>
    </cacheField>
    <cacheField name="Profit" numFmtId="8">
      <sharedItems containsSemiMixedTypes="0" containsString="0" containsNumber="1" minValue="18.36" maxValue="19783.46" count="795">
        <n v="5328.52"/>
        <n v="1765.5"/>
        <n v="1211.43"/>
        <n v="998.11"/>
        <n v="9538.2199999999993"/>
        <n v="375.19"/>
        <n v="1076.03"/>
        <n v="2272.5100000000002"/>
        <n v="98.78"/>
        <n v="274.99"/>
        <n v="3337.65"/>
        <n v="225.09"/>
        <n v="1652.46"/>
        <n v="708.22"/>
        <n v="197.96"/>
        <n v="153.35"/>
        <n v="1939.6"/>
        <n v="404.63"/>
        <n v="5772.49"/>
        <n v="707.95"/>
        <n v="8550.06"/>
        <n v="4774.42"/>
        <n v="566.34"/>
        <n v="415.74"/>
        <n v="2703.16"/>
        <n v="838.01"/>
        <n v="5791.55"/>
        <n v="2386.09"/>
        <n v="797.82"/>
        <n v="3664.62"/>
        <n v="815.81"/>
        <n v="829.96"/>
        <n v="1977.17"/>
        <n v="2473.0300000000002"/>
        <n v="610.20000000000005"/>
        <n v="516.04"/>
        <n v="3023.01"/>
        <n v="226.24"/>
        <n v="903.07"/>
        <n v="905.97"/>
        <n v="406.03"/>
        <n v="899.1"/>
        <n v="600.27"/>
        <n v="1154.0999999999999"/>
        <n v="2197.54"/>
        <n v="1699.47"/>
        <n v="457.38"/>
        <n v="56.23"/>
        <n v="1219.04"/>
        <n v="454.88"/>
        <n v="2753.05"/>
        <n v="2441.5500000000002"/>
        <n v="126.27"/>
        <n v="863.53"/>
        <n v="3582.32"/>
        <n v="612.45000000000005"/>
        <n v="5302.68"/>
        <n v="84.09"/>
        <n v="2504.14"/>
        <n v="5336.06"/>
        <n v="1030.83"/>
        <n v="3911.74"/>
        <n v="886.29"/>
        <n v="755.92"/>
        <n v="150.72999999999999"/>
        <n v="59.27"/>
        <n v="1466.01"/>
        <n v="1305.58"/>
        <n v="282.24"/>
        <n v="479.28"/>
        <n v="2054.94"/>
        <n v="726.83"/>
        <n v="832.49"/>
        <n v="2678.36"/>
        <n v="2401.29"/>
        <n v="447.95"/>
        <n v="1703.83"/>
        <n v="1025.21"/>
        <n v="426.45"/>
        <n v="171.79"/>
        <n v="743.45"/>
        <n v="5320.2"/>
        <n v="477.8"/>
        <n v="1682.5"/>
        <n v="3953.11"/>
        <n v="1293.8399999999999"/>
        <n v="544.11"/>
        <n v="5668.4"/>
        <n v="5825.27"/>
        <n v="4395.2700000000004"/>
        <n v="799.12"/>
        <n v="451.32"/>
        <n v="8348.9699999999993"/>
        <n v="9406.66"/>
        <n v="261.58"/>
        <n v="1189.42"/>
        <n v="5852.49"/>
        <n v="7423.13"/>
        <n v="8723.68"/>
        <n v="3469.97"/>
        <n v="74.010000000000005"/>
        <n v="2342.02"/>
        <n v="485.42"/>
        <n v="2850.79"/>
        <n v="8597.27"/>
        <n v="3379.44"/>
        <n v="4006.11"/>
        <n v="1768.46"/>
        <n v="242.79"/>
        <n v="1202.01"/>
        <n v="2087.23"/>
        <n v="86.42"/>
        <n v="1810.6"/>
        <n v="403.29"/>
        <n v="15643.88"/>
        <n v="2148.67"/>
        <n v="11583.03"/>
        <n v="349.99"/>
        <n v="1523.86"/>
        <n v="3345.15"/>
        <n v="209.88"/>
        <n v="4821.78"/>
        <n v="291.17"/>
        <n v="717.71"/>
        <n v="1183.3499999999999"/>
        <n v="1853.07"/>
        <n v="239.4"/>
        <n v="5911.02"/>
        <n v="1305.01"/>
        <n v="3938.41"/>
        <n v="459.13"/>
        <n v="7549.71"/>
        <n v="201.67"/>
        <n v="983.04"/>
        <n v="546.34"/>
        <n v="1722.14"/>
        <n v="230.28"/>
        <n v="2390.89"/>
        <n v="221.46"/>
        <n v="226.4"/>
        <n v="1596.36"/>
        <n v="2022.23"/>
        <n v="1826.35"/>
        <n v="2295.04"/>
        <n v="191.2"/>
        <n v="443.8"/>
        <n v="446.43"/>
        <n v="3170.98"/>
        <n v="1965.22"/>
        <n v="12434.8"/>
        <n v="301"/>
        <n v="8702.77"/>
        <n v="4462.47"/>
        <n v="263.64999999999998"/>
        <n v="3388.1"/>
        <n v="3226.74"/>
        <n v="995.7"/>
        <n v="904.92"/>
        <n v="319.26"/>
        <n v="1328.03"/>
        <n v="1190.94"/>
        <n v="2530.65"/>
        <n v="1886.14"/>
        <n v="1944.89"/>
        <n v="923.01"/>
        <n v="7789.5"/>
        <n v="565.54999999999995"/>
        <n v="295.55"/>
        <n v="3429.41"/>
        <n v="2240.5100000000002"/>
        <n v="20.12"/>
        <n v="3727.78"/>
        <n v="2641.51"/>
        <n v="1120.33"/>
        <n v="678.3"/>
        <n v="1540.02"/>
        <n v="2573.12"/>
        <n v="1280.6199999999999"/>
        <n v="3448.44"/>
        <n v="3289.69"/>
        <n v="964.46"/>
        <n v="587.13"/>
        <n v="1499.27"/>
        <n v="693.91"/>
        <n v="225.86"/>
        <n v="690.9"/>
        <n v="2879.19"/>
        <n v="214.76"/>
        <n v="8440.5499999999993"/>
        <n v="718.48"/>
        <n v="104.66"/>
        <n v="3496.04"/>
        <n v="1619.65"/>
        <n v="1261.07"/>
        <n v="576.99"/>
        <n v="3592.25"/>
        <n v="90.01"/>
        <n v="915.43"/>
        <n v="147.68"/>
        <n v="149.4"/>
        <n v="1237.94"/>
        <n v="4176.3999999999996"/>
        <n v="2850.74"/>
        <n v="903.36"/>
        <n v="2366.86"/>
        <n v="2412.15"/>
        <n v="4899.53"/>
        <n v="39.799999999999997"/>
        <n v="1319.38"/>
        <n v="172.28"/>
        <n v="590.87"/>
        <n v="1931.71"/>
        <n v="3256.22"/>
        <n v="2247.4299999999998"/>
        <n v="255.56"/>
        <n v="1764.68"/>
        <n v="184.44"/>
        <n v="1350.02"/>
        <n v="251.58"/>
        <n v="296.43"/>
        <n v="3368.45"/>
        <n v="5946.41"/>
        <n v="115.94"/>
        <n v="2019.74"/>
        <n v="1521.93"/>
        <n v="458.75"/>
        <n v="979.89"/>
        <n v="588.03"/>
        <n v="1006.67"/>
        <n v="606.78"/>
        <n v="876.64"/>
        <n v="6481.05"/>
        <n v="1846.4"/>
        <n v="882.37"/>
        <n v="1309.31"/>
        <n v="112.05"/>
        <n v="13206.09"/>
        <n v="348"/>
        <n v="1726.42"/>
        <n v="1045.3399999999999"/>
        <n v="802.41"/>
        <n v="12522.78"/>
        <n v="1090.79"/>
        <n v="1297.08"/>
        <n v="642.03"/>
        <n v="12098.15"/>
        <n v="15400.42"/>
        <n v="371.99"/>
        <n v="904.08"/>
        <n v="228.19"/>
        <n v="1698.6"/>
        <n v="343.54"/>
        <n v="895.62"/>
        <n v="15638.85"/>
        <n v="1362.12"/>
        <n v="1445.77"/>
        <n v="616.42999999999995"/>
        <n v="492.05"/>
        <n v="176.56"/>
        <n v="769.04"/>
        <n v="450.95"/>
        <n v="2183.33"/>
        <n v="3416.73"/>
        <n v="2944.16"/>
        <n v="8527.01"/>
        <n v="283.23"/>
        <n v="1719.18"/>
        <n v="187.67"/>
        <n v="617.88"/>
        <n v="235.91"/>
        <n v="1181.56"/>
        <n v="1247.49"/>
        <n v="2733.52"/>
        <n v="1202.3900000000001"/>
        <n v="239.59"/>
        <n v="967.29"/>
        <n v="7797"/>
        <n v="1416.99"/>
        <n v="2597.92"/>
        <n v="308.5"/>
        <n v="6372.27"/>
        <n v="166.89"/>
        <n v="187.05"/>
        <n v="5801.78"/>
        <n v="2255.11"/>
        <n v="563.91999999999996"/>
        <n v="206.88"/>
        <n v="506.92"/>
        <n v="71.45"/>
        <n v="2266"/>
        <n v="4326.1000000000004"/>
        <n v="3286.16"/>
        <n v="13101.64"/>
        <n v="1112.5899999999999"/>
        <n v="213.73"/>
        <n v="339.02"/>
        <n v="152.44"/>
        <n v="97.99"/>
        <n v="515.73"/>
        <n v="1463.82"/>
        <n v="171.8"/>
        <n v="881.7"/>
        <n v="206.81"/>
        <n v="141.66"/>
        <n v="173.83"/>
        <n v="187.01"/>
        <n v="1531.62"/>
        <n v="1305.54"/>
        <n v="575.52"/>
        <n v="54.06"/>
        <n v="837.35"/>
        <n v="134.75"/>
        <n v="616.76"/>
        <n v="1021.44"/>
        <n v="11513.85"/>
        <n v="930.32"/>
        <n v="118.25"/>
        <n v="696.16"/>
        <n v="281.5"/>
        <n v="1079.81"/>
        <n v="1239.3499999999999"/>
        <n v="80.97"/>
        <n v="85.18"/>
        <n v="144.05000000000001"/>
        <n v="673.74"/>
        <n v="4003.84"/>
        <n v="1309.55"/>
        <n v="590.65"/>
        <n v="713.1"/>
        <n v="1298.81"/>
        <n v="128.75"/>
        <n v="3571.73"/>
        <n v="1947.82"/>
        <n v="258.89999999999998"/>
        <n v="1053.33"/>
        <n v="16621.39"/>
        <n v="2919.3"/>
        <n v="36.93"/>
        <n v="909.87"/>
        <n v="1793.41"/>
        <n v="3450.93"/>
        <n v="459.53"/>
        <n v="466.44"/>
        <n v="1343.89"/>
        <n v="875.72"/>
        <n v="468.83"/>
        <n v="2041.69"/>
        <n v="4969.08"/>
        <n v="889.53"/>
        <n v="15298.14"/>
        <n v="131.19"/>
        <n v="794.32"/>
        <n v="467.76"/>
        <n v="1849.63"/>
        <n v="3090.09"/>
        <n v="41.72"/>
        <n v="2329.19"/>
        <n v="159.33000000000001"/>
        <n v="921.51"/>
        <n v="278.36"/>
        <n v="623.61"/>
        <n v="762.53"/>
        <n v="2344.59"/>
        <n v="858.44"/>
        <n v="829.47"/>
        <n v="311.01"/>
        <n v="312.94"/>
        <n v="525.45000000000005"/>
        <n v="756.23"/>
        <n v="850.34"/>
        <n v="187.26"/>
        <n v="447.79"/>
        <n v="8427.75"/>
        <n v="2545.27"/>
        <n v="1473.1"/>
        <n v="1124.7"/>
        <n v="224.35"/>
        <n v="1269.1099999999999"/>
        <n v="1191.4000000000001"/>
        <n v="1709.19"/>
        <n v="659.74"/>
        <n v="5563.54"/>
        <n v="2166.48"/>
        <n v="3601.9"/>
        <n v="2533.66"/>
        <n v="556"/>
        <n v="473.67"/>
        <n v="745"/>
        <n v="792.1"/>
        <n v="1299.68"/>
        <n v="1541.7"/>
        <n v="7003.87"/>
        <n v="819.58"/>
        <n v="6560.31"/>
        <n v="449.51"/>
        <n v="3072.16"/>
        <n v="2813.79"/>
        <n v="146.24"/>
        <n v="1759.52"/>
        <n v="904.62"/>
        <n v="8468.64"/>
        <n v="2082.7800000000002"/>
        <n v="685.81"/>
        <n v="4731.07"/>
        <n v="454.83"/>
        <n v="453.95"/>
        <n v="172.35"/>
        <n v="3505.12"/>
        <n v="857.1"/>
        <n v="1291.8399999999999"/>
        <n v="405.13"/>
        <n v="712.73"/>
        <n v="704.09"/>
        <n v="831.58"/>
        <n v="7825.2"/>
        <n v="1851.42"/>
        <n v="2414.5700000000002"/>
        <n v="780.08"/>
        <n v="1961.85"/>
        <n v="559.38"/>
        <n v="1054.31"/>
        <n v="530.74"/>
        <n v="1751.76"/>
        <n v="2069.92"/>
        <n v="594.74"/>
        <n v="1691.5"/>
        <n v="254.59"/>
        <n v="12441.49"/>
        <n v="5062.2"/>
        <n v="78.02"/>
        <n v="118.03"/>
        <n v="777.6"/>
        <n v="1500.39"/>
        <n v="247.31"/>
        <n v="1598.54"/>
        <n v="405.36"/>
        <n v="603.75"/>
        <n v="2815.92"/>
        <n v="185.27"/>
        <n v="1200.3"/>
        <n v="10432.44"/>
        <n v="560.94000000000005"/>
        <n v="1380.21"/>
        <n v="89.52"/>
        <n v="331.59"/>
        <n v="2485.5300000000002"/>
        <n v="2795.53"/>
        <n v="176.58"/>
        <n v="996.21"/>
        <n v="2649.78"/>
        <n v="134.09"/>
        <n v="475.27"/>
        <n v="311.05"/>
        <n v="465.17"/>
        <n v="1658.84"/>
        <n v="217.26"/>
        <n v="9085.4599999999991"/>
        <n v="1377.3"/>
        <n v="2248.17"/>
        <n v="1446.19"/>
        <n v="2868.19"/>
        <n v="2875.98"/>
        <n v="590.15"/>
        <n v="1090.3800000000001"/>
        <n v="2871.79"/>
        <n v="3566.39"/>
        <n v="2040.04"/>
        <n v="755.54"/>
        <n v="1195.6600000000001"/>
        <n v="7093.24"/>
        <n v="1472.77"/>
        <n v="2038.43"/>
        <n v="145.47"/>
        <n v="780.69"/>
        <n v="321.18"/>
        <n v="18.739999999999998"/>
        <n v="1845.26"/>
        <n v="890.35"/>
        <n v="1425.96"/>
        <n v="1843.2"/>
        <n v="307.60000000000002"/>
        <n v="623.04"/>
        <n v="7653.85"/>
        <n v="194.13"/>
        <n v="4595.21"/>
        <n v="1285.06"/>
        <n v="339.15"/>
        <n v="918.67"/>
        <n v="3542.14"/>
        <n v="1928"/>
        <n v="634.17999999999995"/>
        <n v="1318.62"/>
        <n v="2444.86"/>
        <n v="2976.3"/>
        <n v="520.89"/>
        <n v="785.44"/>
        <n v="1060.06"/>
        <n v="477.3"/>
        <n v="317.29000000000002"/>
        <n v="312.33"/>
        <n v="2741.14"/>
        <n v="685"/>
        <n v="2645.7"/>
        <n v="1161.53"/>
        <n v="3615.02"/>
        <n v="2312.71"/>
        <n v="237.17"/>
        <n v="532.52"/>
        <n v="3265.57"/>
        <n v="282.52"/>
        <n v="387.07"/>
        <n v="205.24"/>
        <n v="130.71"/>
        <n v="1062"/>
        <n v="95.25"/>
        <n v="191.22"/>
        <n v="927.77"/>
        <n v="5836.49"/>
        <n v="1665.06"/>
        <n v="5865.75"/>
        <n v="1192.97"/>
        <n v="1293.96"/>
        <n v="220.9"/>
        <n v="150.76"/>
        <n v="7718.94"/>
        <n v="8373.0499999999993"/>
        <n v="437.39"/>
        <n v="4875.17"/>
        <n v="1339.99"/>
        <n v="1053.48"/>
        <n v="1489.49"/>
        <n v="472.4"/>
        <n v="300.81"/>
        <n v="4663.7"/>
        <n v="556.6"/>
        <n v="3595.48"/>
        <n v="303.73"/>
        <n v="342.58"/>
        <n v="1041.8699999999999"/>
        <n v="2438.63"/>
        <n v="2127.87"/>
        <n v="715.18"/>
        <n v="4776.46"/>
        <n v="5207.32"/>
        <n v="440.67"/>
        <n v="2261.37"/>
        <n v="862.27"/>
        <n v="2825.56"/>
        <n v="144.28"/>
        <n v="345.27"/>
        <n v="6340.55"/>
        <n v="248.41"/>
        <n v="2273.5"/>
        <n v="661"/>
        <n v="628.01"/>
        <n v="165.09"/>
        <n v="1570.14"/>
        <n v="726.93"/>
        <n v="1052.8499999999999"/>
        <n v="770.22"/>
        <n v="780.73"/>
        <n v="12933.64"/>
        <n v="897.2"/>
        <n v="153.91999999999999"/>
        <n v="2789.63"/>
        <n v="2457.42"/>
        <n v="974.62"/>
        <n v="1727.45"/>
        <n v="1185.55"/>
        <n v="335.46"/>
        <n v="953.79"/>
        <n v="225.22"/>
        <n v="2302.5300000000002"/>
        <n v="1902.29"/>
        <n v="10828.11"/>
        <n v="1362.51"/>
        <n v="2128.52"/>
        <n v="884.44"/>
        <n v="188.35"/>
        <n v="2301.7800000000002"/>
        <n v="1331.73"/>
        <n v="1741.57"/>
        <n v="402.85"/>
        <n v="615.01"/>
        <n v="165.15"/>
        <n v="280.24"/>
        <n v="1322.39"/>
        <n v="378.03"/>
        <n v="158.65"/>
        <n v="3394.28"/>
        <n v="3696.01"/>
        <n v="242.32"/>
        <n v="379.53"/>
        <n v="520.23"/>
        <n v="297.7"/>
        <n v="4067.75"/>
        <n v="651"/>
        <n v="317.02"/>
        <n v="40.78"/>
        <n v="608.91"/>
        <n v="18.36"/>
        <n v="2410.52"/>
        <n v="557.4"/>
        <n v="46.85"/>
        <n v="3450.74"/>
        <n v="4056.81"/>
        <n v="419.07"/>
        <n v="660.13"/>
        <n v="403.67"/>
        <n v="232.21"/>
        <n v="381.95"/>
        <n v="165.01"/>
        <n v="1694.37"/>
        <n v="415.28"/>
        <n v="1077.22"/>
        <n v="1497.85"/>
        <n v="477.17"/>
        <n v="1699.67"/>
        <n v="7266.63"/>
        <n v="3540.05"/>
        <n v="1079.9000000000001"/>
        <n v="360.97"/>
        <n v="491.67"/>
        <n v="1148.55"/>
        <n v="8762.73"/>
        <n v="3726.78"/>
        <n v="4570.62"/>
        <n v="417.06"/>
        <n v="3116.4"/>
        <n v="1804.74"/>
        <n v="1055.8699999999999"/>
        <n v="523.74"/>
        <n v="1708.8"/>
        <n v="378.85"/>
        <n v="3408.89"/>
        <n v="1405.31"/>
        <n v="6266.73"/>
        <n v="1658.96"/>
        <n v="8106.22"/>
        <n v="572.16"/>
        <n v="588.80999999999995"/>
        <n v="6604.54"/>
        <n v="350.85"/>
        <n v="1251.24"/>
        <n v="1480.9"/>
        <n v="855.25"/>
        <n v="799.25"/>
        <n v="143.08000000000001"/>
        <n v="4544.67"/>
        <n v="8299.9599999999991"/>
        <n v="4857.9799999999996"/>
        <n v="925.52"/>
        <n v="90.76"/>
        <n v="207.84"/>
        <n v="1036.5"/>
        <n v="2425.75"/>
        <n v="147.04"/>
        <n v="55.95"/>
        <n v="1135.1199999999999"/>
        <n v="1440.34"/>
        <n v="859.52"/>
        <n v="462.42"/>
        <n v="149.27000000000001"/>
        <n v="2476.21"/>
        <n v="209.44"/>
        <n v="268.88"/>
        <n v="573.73"/>
        <n v="264.45"/>
        <n v="248.64"/>
        <n v="5104.83"/>
        <n v="1375.07"/>
        <n v="418.58"/>
        <n v="7316.93"/>
        <n v="2362.48"/>
        <n v="271.91000000000003"/>
        <n v="1170.5"/>
        <n v="1228.57"/>
        <n v="326.82"/>
        <n v="225.54"/>
        <n v="1485.29"/>
        <n v="9551.3799999999992"/>
        <n v="3206.83"/>
        <n v="3348.48"/>
        <n v="417.8"/>
        <n v="998.6"/>
        <n v="2184.35"/>
        <n v="1027.76"/>
        <n v="353.27"/>
        <n v="1176.29"/>
        <n v="396.09"/>
        <n v="2346.83"/>
        <n v="1813.84"/>
        <n v="474.08"/>
        <n v="1211.6600000000001"/>
        <n v="6784.24"/>
        <n v="231.39"/>
        <n v="8228.9699999999993"/>
        <n v="202.16"/>
        <n v="2666.04"/>
        <n v="812.3"/>
        <n v="932.47"/>
        <n v="1820.26"/>
        <n v="876.97"/>
        <n v="393.78"/>
        <n v="131.09"/>
        <n v="242.86"/>
        <n v="1956.87"/>
        <n v="724.49"/>
        <n v="2182.34"/>
        <n v="503.4"/>
        <n v="812.91"/>
        <n v="704.49"/>
        <n v="3750.03"/>
        <n v="2626.49"/>
        <n v="1068.02"/>
        <n v="1978.84"/>
        <n v="2450.71"/>
        <n v="4492.1099999999997"/>
        <n v="2885.37"/>
        <n v="925.82"/>
        <n v="367.3"/>
        <n v="2217.52"/>
        <n v="429.64"/>
        <n v="1705.01"/>
        <n v="1927.35"/>
        <n v="75.569999999999993"/>
        <n v="227.95"/>
        <n v="387.06"/>
        <n v="2856.96"/>
        <n v="799.24"/>
        <n v="2176.29"/>
        <n v="1929.14"/>
        <n v="69.41"/>
        <n v="1723.33"/>
        <n v="7051.35"/>
        <n v="3825.57"/>
        <n v="995.95"/>
        <n v="487.13"/>
        <n v="7714.5"/>
        <n v="231.46"/>
        <n v="393.64"/>
        <n v="962.22"/>
        <n v="1104.07"/>
        <n v="6430.9"/>
        <n v="19783.46"/>
        <n v="198.35"/>
        <n v="673.81"/>
        <n v="305.86"/>
        <n v="1035.6199999999999"/>
        <n v="849.45"/>
        <n v="4868.93"/>
        <n v="2358.65"/>
        <n v="616.79"/>
        <n v="817.69"/>
        <n v="997.83"/>
        <n v="781.53"/>
        <n v="1680.3"/>
        <n v="525.70000000000005"/>
        <n v="1708.71"/>
        <n v="4935.47"/>
        <n v="5137.91"/>
        <n v="4067.41"/>
        <n v="5065.2"/>
        <n v="1230.5"/>
        <n v="229.4"/>
        <n v="2436.7600000000002"/>
        <n v="1062.03"/>
        <n v="117.23"/>
        <n v="901.34"/>
        <n v="1303.3499999999999"/>
        <n v="919.35"/>
        <n v="203.68"/>
        <n v="2118.16"/>
        <n v="360.14"/>
        <n v="1156.1199999999999"/>
        <n v="292.14"/>
        <n v="150.31"/>
        <n v="1527.49"/>
        <n v="3502.01"/>
        <n v="250.92"/>
        <n v="207.31"/>
        <n v="234.43"/>
        <n v="1191.79"/>
        <n v="913.88"/>
        <n v="1308.04"/>
        <n v="2988.06"/>
        <n v="532.96"/>
        <n v="572.37"/>
        <n v="101.97"/>
        <n v="2033.45"/>
        <n v="5084.6899999999996"/>
        <n v="325.56"/>
        <n v="192.75"/>
        <n v="355.96"/>
        <n v="335.36"/>
      </sharedItems>
    </cacheField>
    <cacheField name="Payment Mode" numFmtId="0">
      <sharedItems count="6">
        <s v="Net Banking"/>
        <s v="Credit Card"/>
        <s v="Debit Card"/>
        <s v="UPI"/>
        <s v="Cash"/>
        <s v="Unknown" u="1"/>
      </sharedItems>
    </cacheField>
    <cacheField name="Order Status" numFmtId="0">
      <sharedItems count="5">
        <s v="Completed"/>
        <s v="Returned"/>
        <s v="Cancelled"/>
        <s v="Pending"/>
        <s v="Unknown" u="1"/>
      </sharedItems>
    </cacheField>
    <cacheField name="Sales Category" numFmtId="0">
      <sharedItems count="3">
        <s v="High Value"/>
        <s v="Medium Value"/>
        <s v="Low Value"/>
      </sharedItems>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394463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9">
  <r>
    <s v="ORD00001"/>
    <x v="0"/>
    <s v="C0170"/>
    <x v="0"/>
    <x v="0"/>
    <x v="0"/>
    <s v="P1005"/>
    <x v="0"/>
    <x v="0"/>
    <n v="4"/>
    <n v="3999"/>
    <n v="15996"/>
    <x v="0"/>
    <x v="0"/>
    <x v="0"/>
    <x v="0"/>
  </r>
  <r>
    <s v="ORD00002"/>
    <x v="1"/>
    <s v="C0015"/>
    <x v="1"/>
    <x v="1"/>
    <x v="1"/>
    <s v="P1019"/>
    <x v="1"/>
    <x v="1"/>
    <n v="8"/>
    <n v="1679"/>
    <n v="11417.2"/>
    <x v="1"/>
    <x v="0"/>
    <x v="0"/>
    <x v="0"/>
  </r>
  <r>
    <s v="ORD00003"/>
    <x v="2"/>
    <s v="C0153"/>
    <x v="2"/>
    <x v="2"/>
    <x v="1"/>
    <s v="P1008"/>
    <x v="2"/>
    <x v="2"/>
    <n v="7"/>
    <n v="1169"/>
    <n v="6955.55"/>
    <x v="2"/>
    <x v="0"/>
    <x v="0"/>
    <x v="1"/>
  </r>
  <r>
    <s v="ORD00004"/>
    <x v="3"/>
    <s v="C0169"/>
    <x v="3"/>
    <x v="3"/>
    <x v="0"/>
    <s v="P1011"/>
    <x v="3"/>
    <x v="3"/>
    <n v="5"/>
    <n v="899"/>
    <n v="3596"/>
    <x v="3"/>
    <x v="1"/>
    <x v="0"/>
    <x v="2"/>
  </r>
  <r>
    <s v="ORD00005"/>
    <x v="4"/>
    <s v="C0166"/>
    <x v="4"/>
    <x v="4"/>
    <x v="2"/>
    <s v="P1015"/>
    <x v="4"/>
    <x v="4"/>
    <n v="6"/>
    <n v="7199"/>
    <n v="43194"/>
    <x v="4"/>
    <x v="0"/>
    <x v="1"/>
    <x v="0"/>
  </r>
  <r>
    <s v="ORD00006"/>
    <x v="5"/>
    <s v="C0055"/>
    <x v="5"/>
    <x v="3"/>
    <x v="0"/>
    <s v="P1009"/>
    <x v="5"/>
    <x v="3"/>
    <n v="3"/>
    <n v="399"/>
    <n v="1197"/>
    <x v="5"/>
    <x v="2"/>
    <x v="0"/>
    <x v="2"/>
  </r>
  <r>
    <s v="ORD00007"/>
    <x v="6"/>
    <s v="C0078"/>
    <x v="6"/>
    <x v="3"/>
    <x v="0"/>
    <s v="P1001"/>
    <x v="6"/>
    <x v="0"/>
    <n v="5"/>
    <n v="659"/>
    <n v="3295"/>
    <x v="6"/>
    <x v="1"/>
    <x v="0"/>
    <x v="2"/>
  </r>
  <r>
    <s v="ORD00008"/>
    <x v="7"/>
    <s v="C0040"/>
    <x v="7"/>
    <x v="5"/>
    <x v="3"/>
    <s v="P1010"/>
    <x v="7"/>
    <x v="3"/>
    <n v="4"/>
    <n v="3629"/>
    <n v="13790.2"/>
    <x v="7"/>
    <x v="2"/>
    <x v="0"/>
    <x v="0"/>
  </r>
  <r>
    <s v="ORD00009"/>
    <x v="8"/>
    <s v="C0024"/>
    <x v="8"/>
    <x v="6"/>
    <x v="4"/>
    <s v="P1009"/>
    <x v="5"/>
    <x v="3"/>
    <n v="1"/>
    <n v="359"/>
    <n v="341.05"/>
    <x v="8"/>
    <x v="2"/>
    <x v="0"/>
    <x v="2"/>
  </r>
  <r>
    <s v="ORD00010"/>
    <x v="9"/>
    <s v="C0110"/>
    <x v="9"/>
    <x v="7"/>
    <x v="5"/>
    <s v="P1001"/>
    <x v="6"/>
    <x v="0"/>
    <n v="2"/>
    <n v="539"/>
    <n v="862.4"/>
    <x v="9"/>
    <x v="0"/>
    <x v="0"/>
    <x v="2"/>
  </r>
  <r>
    <s v="ORD00011"/>
    <x v="10"/>
    <s v="C0142"/>
    <x v="10"/>
    <x v="8"/>
    <x v="6"/>
    <s v="P1014"/>
    <x v="8"/>
    <x v="4"/>
    <n v="3"/>
    <n v="5849"/>
    <n v="16669.650000000001"/>
    <x v="10"/>
    <x v="3"/>
    <x v="2"/>
    <x v="0"/>
  </r>
  <r>
    <s v="ORD00012"/>
    <x v="11"/>
    <s v="C0064"/>
    <x v="11"/>
    <x v="9"/>
    <x v="1"/>
    <s v="P1012"/>
    <x v="9"/>
    <x v="5"/>
    <n v="7"/>
    <n v="261"/>
    <n v="1461.6"/>
    <x v="11"/>
    <x v="1"/>
    <x v="2"/>
    <x v="2"/>
  </r>
  <r>
    <s v="ORD00013"/>
    <x v="12"/>
    <s v="C0007"/>
    <x v="12"/>
    <x v="10"/>
    <x v="6"/>
    <s v="P1011"/>
    <x v="3"/>
    <x v="3"/>
    <n v="7"/>
    <n v="989"/>
    <n v="5538.4"/>
    <x v="12"/>
    <x v="2"/>
    <x v="0"/>
    <x v="1"/>
  </r>
  <r>
    <s v="ORD00014"/>
    <x v="13"/>
    <s v="C0098"/>
    <x v="13"/>
    <x v="1"/>
    <x v="1"/>
    <s v="P1016"/>
    <x v="10"/>
    <x v="6"/>
    <n v="4"/>
    <n v="999"/>
    <n v="3596.4"/>
    <x v="13"/>
    <x v="1"/>
    <x v="0"/>
    <x v="2"/>
  </r>
  <r>
    <s v="ORD00015"/>
    <x v="14"/>
    <s v="C0103"/>
    <x v="14"/>
    <x v="11"/>
    <x v="7"/>
    <s v="P1009"/>
    <x v="5"/>
    <x v="3"/>
    <n v="2"/>
    <n v="399"/>
    <n v="758.1"/>
    <x v="14"/>
    <x v="4"/>
    <x v="0"/>
    <x v="2"/>
  </r>
  <r>
    <s v="ORD00016"/>
    <x v="15"/>
    <s v="C0008"/>
    <x v="15"/>
    <x v="9"/>
    <x v="1"/>
    <s v="P1009"/>
    <x v="5"/>
    <x v="3"/>
    <n v="3"/>
    <n v="419"/>
    <n v="1194.1500000000001"/>
    <x v="15"/>
    <x v="0"/>
    <x v="0"/>
    <x v="2"/>
  </r>
  <r>
    <s v="ORD00017"/>
    <x v="1"/>
    <s v="C0112"/>
    <x v="16"/>
    <x v="3"/>
    <x v="0"/>
    <s v="P1004"/>
    <x v="11"/>
    <x v="0"/>
    <n v="7"/>
    <n v="1574"/>
    <n v="11018"/>
    <x v="16"/>
    <x v="4"/>
    <x v="0"/>
    <x v="0"/>
  </r>
  <r>
    <s v="ORD00018"/>
    <x v="16"/>
    <s v="C0172"/>
    <x v="17"/>
    <x v="8"/>
    <x v="6"/>
    <s v="P1012"/>
    <x v="9"/>
    <x v="5"/>
    <n v="7"/>
    <n v="224"/>
    <n v="1254.4000000000001"/>
    <x v="17"/>
    <x v="0"/>
    <x v="0"/>
    <x v="2"/>
  </r>
  <r>
    <s v="ORD00019"/>
    <x v="17"/>
    <s v="C0130"/>
    <x v="18"/>
    <x v="4"/>
    <x v="2"/>
    <s v="P1014"/>
    <x v="8"/>
    <x v="4"/>
    <n v="6"/>
    <n v="6499"/>
    <n v="31195.200000000001"/>
    <x v="18"/>
    <x v="1"/>
    <x v="0"/>
    <x v="0"/>
  </r>
  <r>
    <s v="ORD00020"/>
    <x v="18"/>
    <s v="C0174"/>
    <x v="19"/>
    <x v="10"/>
    <x v="6"/>
    <s v="P1020"/>
    <x v="12"/>
    <x v="3"/>
    <n v="5"/>
    <n v="549"/>
    <n v="2333.25"/>
    <x v="19"/>
    <x v="2"/>
    <x v="0"/>
    <x v="2"/>
  </r>
  <r>
    <s v="ORD00021"/>
    <x v="19"/>
    <s v="C0156"/>
    <x v="20"/>
    <x v="11"/>
    <x v="7"/>
    <s v="P1015"/>
    <x v="4"/>
    <x v="4"/>
    <n v="8"/>
    <n v="7999"/>
    <n v="51193.599999999999"/>
    <x v="20"/>
    <x v="4"/>
    <x v="3"/>
    <x v="0"/>
  </r>
  <r>
    <s v="ORD00022"/>
    <x v="20"/>
    <s v="C0169"/>
    <x v="3"/>
    <x v="2"/>
    <x v="1"/>
    <s v="P1010"/>
    <x v="7"/>
    <x v="3"/>
    <n v="6"/>
    <n v="2969"/>
    <n v="17814"/>
    <x v="21"/>
    <x v="1"/>
    <x v="3"/>
    <x v="0"/>
  </r>
  <r>
    <s v="ORD00023"/>
    <x v="21"/>
    <s v="C0012"/>
    <x v="21"/>
    <x v="12"/>
    <x v="3"/>
    <s v="P1016"/>
    <x v="10"/>
    <x v="6"/>
    <n v="2"/>
    <n v="999"/>
    <n v="1798.2"/>
    <x v="22"/>
    <x v="0"/>
    <x v="0"/>
    <x v="2"/>
  </r>
  <r>
    <s v="ORD00024"/>
    <x v="22"/>
    <s v="C0127"/>
    <x v="22"/>
    <x v="13"/>
    <x v="8"/>
    <s v="P1008"/>
    <x v="2"/>
    <x v="2"/>
    <n v="3"/>
    <n v="1429"/>
    <n v="3429.6"/>
    <x v="23"/>
    <x v="3"/>
    <x v="3"/>
    <x v="2"/>
  </r>
  <r>
    <s v="ORD00025"/>
    <x v="23"/>
    <s v="C0179"/>
    <x v="23"/>
    <x v="3"/>
    <x v="0"/>
    <s v="P1015"/>
    <x v="4"/>
    <x v="4"/>
    <n v="1"/>
    <n v="8399"/>
    <n v="8399"/>
    <x v="24"/>
    <x v="3"/>
    <x v="0"/>
    <x v="1"/>
  </r>
  <r>
    <s v="ORD00026"/>
    <x v="24"/>
    <s v="C0136"/>
    <x v="24"/>
    <x v="14"/>
    <x v="1"/>
    <s v="P1020"/>
    <x v="12"/>
    <x v="3"/>
    <n v="6"/>
    <n v="549"/>
    <n v="2799.9"/>
    <x v="25"/>
    <x v="0"/>
    <x v="0"/>
    <x v="2"/>
  </r>
  <r>
    <s v="ORD00027"/>
    <x v="25"/>
    <s v="C0041"/>
    <x v="25"/>
    <x v="0"/>
    <x v="0"/>
    <s v="P1015"/>
    <x v="4"/>
    <x v="4"/>
    <n v="5"/>
    <n v="7999"/>
    <n v="31996"/>
    <x v="26"/>
    <x v="0"/>
    <x v="0"/>
    <x v="0"/>
  </r>
  <r>
    <s v="ORD00028"/>
    <x v="26"/>
    <s v="C0113"/>
    <x v="26"/>
    <x v="2"/>
    <x v="1"/>
    <s v="P1010"/>
    <x v="7"/>
    <x v="3"/>
    <n v="4"/>
    <n v="3299"/>
    <n v="12536.2"/>
    <x v="27"/>
    <x v="0"/>
    <x v="0"/>
    <x v="0"/>
  </r>
  <r>
    <s v="ORD00029"/>
    <x v="27"/>
    <s v="C0099"/>
    <x v="27"/>
    <x v="8"/>
    <x v="6"/>
    <s v="P1007"/>
    <x v="13"/>
    <x v="2"/>
    <n v="2"/>
    <n v="2299"/>
    <n v="4138.2"/>
    <x v="28"/>
    <x v="4"/>
    <x v="0"/>
    <x v="2"/>
  </r>
  <r>
    <s v="ORD00030"/>
    <x v="28"/>
    <s v="C0100"/>
    <x v="28"/>
    <x v="14"/>
    <x v="1"/>
    <s v="P1019"/>
    <x v="1"/>
    <x v="1"/>
    <n v="7"/>
    <n v="1599"/>
    <n v="11193"/>
    <x v="29"/>
    <x v="2"/>
    <x v="0"/>
    <x v="0"/>
  </r>
  <r>
    <s v="ORD00031"/>
    <x v="5"/>
    <s v="C0140"/>
    <x v="6"/>
    <x v="12"/>
    <x v="3"/>
    <s v="P1016"/>
    <x v="10"/>
    <x v="6"/>
    <n v="4"/>
    <n v="999"/>
    <n v="3596.4"/>
    <x v="30"/>
    <x v="4"/>
    <x v="0"/>
    <x v="2"/>
  </r>
  <r>
    <s v="ORD00032"/>
    <x v="29"/>
    <s v="C0043"/>
    <x v="29"/>
    <x v="15"/>
    <x v="9"/>
    <s v="P1005"/>
    <x v="0"/>
    <x v="0"/>
    <n v="1"/>
    <n v="3999"/>
    <n v="3399.15"/>
    <x v="31"/>
    <x v="3"/>
    <x v="0"/>
    <x v="2"/>
  </r>
  <r>
    <s v="ORD00033"/>
    <x v="30"/>
    <s v="C0119"/>
    <x v="30"/>
    <x v="10"/>
    <x v="6"/>
    <s v="P1002"/>
    <x v="14"/>
    <x v="0"/>
    <n v="5"/>
    <n v="2499"/>
    <n v="11870.25"/>
    <x v="32"/>
    <x v="2"/>
    <x v="0"/>
    <x v="0"/>
  </r>
  <r>
    <s v="ORD00034"/>
    <x v="31"/>
    <s v="C0108"/>
    <x v="31"/>
    <x v="5"/>
    <x v="3"/>
    <s v="P1003"/>
    <x v="15"/>
    <x v="0"/>
    <n v="8"/>
    <n v="1619"/>
    <n v="10361.6"/>
    <x v="33"/>
    <x v="2"/>
    <x v="0"/>
    <x v="0"/>
  </r>
  <r>
    <s v="ORD00035"/>
    <x v="32"/>
    <s v="C0011"/>
    <x v="32"/>
    <x v="14"/>
    <x v="1"/>
    <s v="P1008"/>
    <x v="2"/>
    <x v="2"/>
    <n v="4"/>
    <n v="1169"/>
    <n v="3974.6"/>
    <x v="34"/>
    <x v="1"/>
    <x v="0"/>
    <x v="2"/>
  </r>
  <r>
    <s v="ORD00036"/>
    <x v="33"/>
    <s v="C0056"/>
    <x v="33"/>
    <x v="15"/>
    <x v="9"/>
    <s v="P1009"/>
    <x v="5"/>
    <x v="3"/>
    <n v="6"/>
    <n v="399"/>
    <n v="2034.9"/>
    <x v="35"/>
    <x v="3"/>
    <x v="3"/>
    <x v="2"/>
  </r>
  <r>
    <s v="ORD00037"/>
    <x v="34"/>
    <s v="C0028"/>
    <x v="34"/>
    <x v="14"/>
    <x v="1"/>
    <s v="P1010"/>
    <x v="7"/>
    <x v="3"/>
    <n v="7"/>
    <n v="3299"/>
    <n v="18474.400000000001"/>
    <x v="36"/>
    <x v="0"/>
    <x v="0"/>
    <x v="0"/>
  </r>
  <r>
    <s v="ORD00038"/>
    <x v="35"/>
    <s v="C0027"/>
    <x v="35"/>
    <x v="4"/>
    <x v="2"/>
    <s v="P1020"/>
    <x v="12"/>
    <x v="3"/>
    <n v="2"/>
    <n v="576"/>
    <n v="1152"/>
    <x v="37"/>
    <x v="4"/>
    <x v="0"/>
    <x v="2"/>
  </r>
  <r>
    <s v="ORD00039"/>
    <x v="36"/>
    <s v="C0166"/>
    <x v="4"/>
    <x v="11"/>
    <x v="7"/>
    <s v="P1001"/>
    <x v="6"/>
    <x v="0"/>
    <n v="7"/>
    <n v="599"/>
    <n v="4193"/>
    <x v="38"/>
    <x v="2"/>
    <x v="0"/>
    <x v="2"/>
  </r>
  <r>
    <s v="ORD00040"/>
    <x v="37"/>
    <s v="C0040"/>
    <x v="7"/>
    <x v="6"/>
    <x v="4"/>
    <s v="P1006"/>
    <x v="16"/>
    <x v="2"/>
    <n v="5"/>
    <n v="734"/>
    <n v="3119.5"/>
    <x v="39"/>
    <x v="4"/>
    <x v="0"/>
    <x v="2"/>
  </r>
  <r>
    <s v="ORD00041"/>
    <x v="38"/>
    <s v="C0069"/>
    <x v="36"/>
    <x v="11"/>
    <x v="7"/>
    <s v="P1008"/>
    <x v="2"/>
    <x v="2"/>
    <n v="2"/>
    <n v="1299"/>
    <n v="2338.1999999999998"/>
    <x v="40"/>
    <x v="4"/>
    <x v="0"/>
    <x v="2"/>
  </r>
  <r>
    <s v="ORD00042"/>
    <x v="18"/>
    <s v="C0087"/>
    <x v="37"/>
    <x v="14"/>
    <x v="1"/>
    <s v="P1016"/>
    <x v="10"/>
    <x v="6"/>
    <n v="6"/>
    <n v="999"/>
    <n v="5394.6"/>
    <x v="41"/>
    <x v="2"/>
    <x v="0"/>
    <x v="1"/>
  </r>
  <r>
    <s v="ORD00043"/>
    <x v="39"/>
    <s v="C0071"/>
    <x v="38"/>
    <x v="7"/>
    <x v="5"/>
    <s v="P1001"/>
    <x v="6"/>
    <x v="0"/>
    <n v="4"/>
    <n v="539"/>
    <n v="2156"/>
    <x v="42"/>
    <x v="4"/>
    <x v="0"/>
    <x v="2"/>
  </r>
  <r>
    <s v="ORD00044"/>
    <x v="40"/>
    <s v="C0122"/>
    <x v="39"/>
    <x v="0"/>
    <x v="0"/>
    <s v="P1015"/>
    <x v="4"/>
    <x v="4"/>
    <n v="1"/>
    <n v="7199"/>
    <n v="6839.05"/>
    <x v="43"/>
    <x v="1"/>
    <x v="0"/>
    <x v="1"/>
  </r>
  <r>
    <s v="ORD00045"/>
    <x v="41"/>
    <s v="C0122"/>
    <x v="39"/>
    <x v="7"/>
    <x v="5"/>
    <s v="P1017"/>
    <x v="17"/>
    <x v="6"/>
    <n v="6"/>
    <n v="1899"/>
    <n v="9115.2000000000007"/>
    <x v="44"/>
    <x v="2"/>
    <x v="0"/>
    <x v="1"/>
  </r>
  <r>
    <s v="ORD00046"/>
    <x v="42"/>
    <s v="C0065"/>
    <x v="40"/>
    <x v="12"/>
    <x v="3"/>
    <s v="P1004"/>
    <x v="11"/>
    <x v="0"/>
    <n v="4"/>
    <n v="1499"/>
    <n v="5996"/>
    <x v="45"/>
    <x v="1"/>
    <x v="0"/>
    <x v="1"/>
  </r>
  <r>
    <s v="ORD00047"/>
    <x v="43"/>
    <s v="C0071"/>
    <x v="38"/>
    <x v="3"/>
    <x v="0"/>
    <s v="P1020"/>
    <x v="12"/>
    <x v="3"/>
    <n v="5"/>
    <n v="494"/>
    <n v="2470"/>
    <x v="46"/>
    <x v="2"/>
    <x v="0"/>
    <x v="2"/>
  </r>
  <r>
    <s v="ORD00048"/>
    <x v="37"/>
    <s v="C0137"/>
    <x v="41"/>
    <x v="8"/>
    <x v="6"/>
    <s v="P1009"/>
    <x v="5"/>
    <x v="3"/>
    <n v="1"/>
    <n v="359"/>
    <n v="305.14999999999998"/>
    <x v="47"/>
    <x v="1"/>
    <x v="0"/>
    <x v="2"/>
  </r>
  <r>
    <s v="ORD00049"/>
    <x v="44"/>
    <s v="C0004"/>
    <x v="42"/>
    <x v="4"/>
    <x v="2"/>
    <s v="P1016"/>
    <x v="10"/>
    <x v="6"/>
    <n v="8"/>
    <n v="999"/>
    <n v="7592.4"/>
    <x v="48"/>
    <x v="3"/>
    <x v="0"/>
    <x v="1"/>
  </r>
  <r>
    <s v="ORD00050"/>
    <x v="45"/>
    <s v="C0017"/>
    <x v="43"/>
    <x v="13"/>
    <x v="8"/>
    <s v="P1016"/>
    <x v="10"/>
    <x v="6"/>
    <n v="2"/>
    <n v="1049"/>
    <n v="1678.4"/>
    <x v="49"/>
    <x v="1"/>
    <x v="0"/>
    <x v="2"/>
  </r>
  <r>
    <s v="ORD00051"/>
    <x v="46"/>
    <s v="C0022"/>
    <x v="44"/>
    <x v="12"/>
    <x v="3"/>
    <s v="P1004"/>
    <x v="11"/>
    <x v="0"/>
    <n v="7"/>
    <n v="1574"/>
    <n v="9365.2999999999993"/>
    <x v="50"/>
    <x v="1"/>
    <x v="3"/>
    <x v="1"/>
  </r>
  <r>
    <s v="ORD00052"/>
    <x v="47"/>
    <s v="C0114"/>
    <x v="41"/>
    <x v="4"/>
    <x v="2"/>
    <s v="P1019"/>
    <x v="1"/>
    <x v="1"/>
    <n v="7"/>
    <n v="1599"/>
    <n v="9514.0499999999993"/>
    <x v="51"/>
    <x v="0"/>
    <x v="1"/>
    <x v="1"/>
  </r>
  <r>
    <s v="ORD00053"/>
    <x v="48"/>
    <s v="C0161"/>
    <x v="45"/>
    <x v="16"/>
    <x v="6"/>
    <s v="P1009"/>
    <x v="5"/>
    <x v="3"/>
    <n v="2"/>
    <n v="399"/>
    <n v="798"/>
    <x v="52"/>
    <x v="3"/>
    <x v="0"/>
    <x v="2"/>
  </r>
  <r>
    <s v="ORD00054"/>
    <x v="47"/>
    <s v="C0177"/>
    <x v="46"/>
    <x v="0"/>
    <x v="0"/>
    <s v="P1010"/>
    <x v="7"/>
    <x v="3"/>
    <n v="1"/>
    <n v="3299"/>
    <n v="3134.05"/>
    <x v="53"/>
    <x v="4"/>
    <x v="0"/>
    <x v="2"/>
  </r>
  <r>
    <s v="ORD00055"/>
    <x v="49"/>
    <s v="C0161"/>
    <x v="45"/>
    <x v="16"/>
    <x v="6"/>
    <s v="P1014"/>
    <x v="8"/>
    <x v="4"/>
    <n v="2"/>
    <n v="6824"/>
    <n v="13648"/>
    <x v="54"/>
    <x v="2"/>
    <x v="3"/>
    <x v="0"/>
  </r>
  <r>
    <s v="ORD00056"/>
    <x v="50"/>
    <s v="C0043"/>
    <x v="29"/>
    <x v="4"/>
    <x v="2"/>
    <s v="P1020"/>
    <x v="12"/>
    <x v="3"/>
    <n v="5"/>
    <n v="549"/>
    <n v="2745"/>
    <x v="55"/>
    <x v="2"/>
    <x v="0"/>
    <x v="2"/>
  </r>
  <r>
    <s v="ORD00057"/>
    <x v="51"/>
    <s v="C0139"/>
    <x v="47"/>
    <x v="0"/>
    <x v="0"/>
    <s v="P1015"/>
    <x v="4"/>
    <x v="4"/>
    <n v="2"/>
    <n v="8399"/>
    <n v="16798"/>
    <x v="56"/>
    <x v="2"/>
    <x v="0"/>
    <x v="0"/>
  </r>
  <r>
    <s v="ORD00058"/>
    <x v="52"/>
    <s v="C0059"/>
    <x v="48"/>
    <x v="14"/>
    <x v="1"/>
    <s v="P1009"/>
    <x v="5"/>
    <x v="3"/>
    <n v="1"/>
    <n v="399"/>
    <n v="359.1"/>
    <x v="57"/>
    <x v="4"/>
    <x v="2"/>
    <x v="2"/>
  </r>
  <r>
    <s v="ORD00059"/>
    <x v="53"/>
    <s v="C0112"/>
    <x v="16"/>
    <x v="0"/>
    <x v="0"/>
    <s v="P1003"/>
    <x v="15"/>
    <x v="0"/>
    <n v="8"/>
    <n v="1799"/>
    <n v="12952.8"/>
    <x v="58"/>
    <x v="3"/>
    <x v="3"/>
    <x v="0"/>
  </r>
  <r>
    <s v="ORD00060"/>
    <x v="54"/>
    <s v="C0178"/>
    <x v="49"/>
    <x v="0"/>
    <x v="0"/>
    <s v="P1010"/>
    <x v="7"/>
    <x v="3"/>
    <n v="7"/>
    <n v="3464"/>
    <n v="24248"/>
    <x v="59"/>
    <x v="2"/>
    <x v="0"/>
    <x v="0"/>
  </r>
  <r>
    <s v="ORD00061"/>
    <x v="55"/>
    <s v="C0132"/>
    <x v="47"/>
    <x v="14"/>
    <x v="1"/>
    <s v="P1018"/>
    <x v="18"/>
    <x v="1"/>
    <n v="8"/>
    <n v="799"/>
    <n v="6392"/>
    <x v="60"/>
    <x v="2"/>
    <x v="0"/>
    <x v="1"/>
  </r>
  <r>
    <s v="ORD00062"/>
    <x v="56"/>
    <s v="C0114"/>
    <x v="41"/>
    <x v="1"/>
    <x v="1"/>
    <s v="P1007"/>
    <x v="13"/>
    <x v="2"/>
    <n v="5"/>
    <n v="2414"/>
    <n v="12070"/>
    <x v="61"/>
    <x v="4"/>
    <x v="2"/>
    <x v="0"/>
  </r>
  <r>
    <s v="ORD00063"/>
    <x v="57"/>
    <s v="C0008"/>
    <x v="15"/>
    <x v="12"/>
    <x v="3"/>
    <s v="P1006"/>
    <x v="16"/>
    <x v="2"/>
    <n v="5"/>
    <n v="734"/>
    <n v="3670"/>
    <x v="62"/>
    <x v="3"/>
    <x v="0"/>
    <x v="2"/>
  </r>
  <r>
    <s v="ORD00064"/>
    <x v="58"/>
    <s v="C0031"/>
    <x v="50"/>
    <x v="8"/>
    <x v="6"/>
    <s v="P1016"/>
    <x v="10"/>
    <x v="6"/>
    <n v="5"/>
    <n v="1049"/>
    <n v="4196"/>
    <x v="63"/>
    <x v="4"/>
    <x v="1"/>
    <x v="2"/>
  </r>
  <r>
    <s v="ORD00065"/>
    <x v="59"/>
    <s v="C0142"/>
    <x v="10"/>
    <x v="8"/>
    <x v="6"/>
    <s v="P1013"/>
    <x v="19"/>
    <x v="5"/>
    <n v="4"/>
    <n v="156"/>
    <n v="530.4"/>
    <x v="64"/>
    <x v="1"/>
    <x v="2"/>
    <x v="2"/>
  </r>
  <r>
    <s v="ORD00066"/>
    <x v="60"/>
    <s v="C0088"/>
    <x v="51"/>
    <x v="3"/>
    <x v="0"/>
    <s v="P1009"/>
    <x v="5"/>
    <x v="3"/>
    <n v="1"/>
    <n v="399"/>
    <n v="319.2"/>
    <x v="65"/>
    <x v="0"/>
    <x v="0"/>
    <x v="2"/>
  </r>
  <r>
    <s v="ORD00067"/>
    <x v="61"/>
    <s v="C0039"/>
    <x v="52"/>
    <x v="15"/>
    <x v="9"/>
    <s v="P1018"/>
    <x v="18"/>
    <x v="1"/>
    <n v="8"/>
    <n v="799"/>
    <n v="6072.4"/>
    <x v="66"/>
    <x v="0"/>
    <x v="0"/>
    <x v="1"/>
  </r>
  <r>
    <s v="ORD00068"/>
    <x v="62"/>
    <s v="C0179"/>
    <x v="23"/>
    <x v="12"/>
    <x v="3"/>
    <s v="P1019"/>
    <x v="1"/>
    <x v="1"/>
    <n v="7"/>
    <n v="1599"/>
    <n v="10073.700000000001"/>
    <x v="67"/>
    <x v="4"/>
    <x v="0"/>
    <x v="0"/>
  </r>
  <r>
    <s v="ORD00069"/>
    <x v="63"/>
    <s v="C0170"/>
    <x v="0"/>
    <x v="8"/>
    <x v="6"/>
    <s v="P1016"/>
    <x v="10"/>
    <x v="6"/>
    <n v="1"/>
    <n v="999"/>
    <n v="849.15"/>
    <x v="68"/>
    <x v="2"/>
    <x v="2"/>
    <x v="2"/>
  </r>
  <r>
    <s v="ORD00070"/>
    <x v="64"/>
    <s v="C0135"/>
    <x v="53"/>
    <x v="15"/>
    <x v="9"/>
    <s v="P1001"/>
    <x v="6"/>
    <x v="0"/>
    <n v="3"/>
    <n v="599"/>
    <n v="1437.6"/>
    <x v="69"/>
    <x v="3"/>
    <x v="0"/>
    <x v="2"/>
  </r>
  <r>
    <s v="ORD00071"/>
    <x v="65"/>
    <s v="C0160"/>
    <x v="54"/>
    <x v="13"/>
    <x v="8"/>
    <s v="P1003"/>
    <x v="15"/>
    <x v="0"/>
    <n v="6"/>
    <n v="1979"/>
    <n v="10092.9"/>
    <x v="70"/>
    <x v="2"/>
    <x v="0"/>
    <x v="0"/>
  </r>
  <r>
    <s v="ORD00072"/>
    <x v="66"/>
    <s v="C0010"/>
    <x v="55"/>
    <x v="2"/>
    <x v="1"/>
    <s v="P1008"/>
    <x v="2"/>
    <x v="2"/>
    <n v="5"/>
    <n v="1299"/>
    <n v="5196"/>
    <x v="71"/>
    <x v="3"/>
    <x v="3"/>
    <x v="1"/>
  </r>
  <r>
    <s v="ORD00073"/>
    <x v="64"/>
    <s v="C0114"/>
    <x v="41"/>
    <x v="10"/>
    <x v="6"/>
    <s v="P1010"/>
    <x v="7"/>
    <x v="3"/>
    <n v="1"/>
    <n v="2969"/>
    <n v="2820.55"/>
    <x v="72"/>
    <x v="2"/>
    <x v="0"/>
    <x v="2"/>
  </r>
  <r>
    <s v="ORD00074"/>
    <x v="67"/>
    <s v="C0063"/>
    <x v="56"/>
    <x v="3"/>
    <x v="0"/>
    <s v="P1014"/>
    <x v="8"/>
    <x v="4"/>
    <n v="3"/>
    <n v="6499"/>
    <n v="19497"/>
    <x v="73"/>
    <x v="4"/>
    <x v="0"/>
    <x v="0"/>
  </r>
  <r>
    <s v="ORD00075"/>
    <x v="68"/>
    <s v="C0150"/>
    <x v="57"/>
    <x v="8"/>
    <x v="6"/>
    <s v="P1008"/>
    <x v="2"/>
    <x v="2"/>
    <n v="8"/>
    <n v="1429"/>
    <n v="10860.4"/>
    <x v="74"/>
    <x v="3"/>
    <x v="2"/>
    <x v="0"/>
  </r>
  <r>
    <s v="ORD00076"/>
    <x v="69"/>
    <s v="C0174"/>
    <x v="19"/>
    <x v="7"/>
    <x v="5"/>
    <s v="P1006"/>
    <x v="16"/>
    <x v="2"/>
    <n v="2"/>
    <n v="699"/>
    <n v="1328.1"/>
    <x v="75"/>
    <x v="2"/>
    <x v="0"/>
    <x v="2"/>
  </r>
  <r>
    <s v="ORD00077"/>
    <x v="40"/>
    <s v="C0065"/>
    <x v="40"/>
    <x v="15"/>
    <x v="9"/>
    <s v="P1010"/>
    <x v="7"/>
    <x v="3"/>
    <n v="4"/>
    <n v="3299"/>
    <n v="11876.4"/>
    <x v="76"/>
    <x v="4"/>
    <x v="0"/>
    <x v="0"/>
  </r>
  <r>
    <s v="ORD00078"/>
    <x v="70"/>
    <s v="C0180"/>
    <x v="58"/>
    <x v="4"/>
    <x v="2"/>
    <s v="P1001"/>
    <x v="6"/>
    <x v="0"/>
    <n v="7"/>
    <n v="599"/>
    <n v="4193"/>
    <x v="77"/>
    <x v="3"/>
    <x v="2"/>
    <x v="2"/>
  </r>
  <r>
    <s v="ORD00079"/>
    <x v="68"/>
    <s v="C0074"/>
    <x v="15"/>
    <x v="12"/>
    <x v="3"/>
    <s v="P1020"/>
    <x v="12"/>
    <x v="3"/>
    <n v="6"/>
    <n v="549"/>
    <n v="2635.2"/>
    <x v="78"/>
    <x v="2"/>
    <x v="0"/>
    <x v="2"/>
  </r>
  <r>
    <s v="ORD00080"/>
    <x v="71"/>
    <s v="C0175"/>
    <x v="59"/>
    <x v="8"/>
    <x v="6"/>
    <s v="P1004"/>
    <x v="11"/>
    <x v="0"/>
    <n v="1"/>
    <n v="1499"/>
    <n v="1349.1"/>
    <x v="79"/>
    <x v="2"/>
    <x v="0"/>
    <x v="2"/>
  </r>
  <r>
    <s v="ORD00081"/>
    <x v="70"/>
    <s v="C0084"/>
    <x v="60"/>
    <x v="6"/>
    <x v="4"/>
    <s v="P1006"/>
    <x v="16"/>
    <x v="2"/>
    <n v="4"/>
    <n v="699"/>
    <n v="2376.6"/>
    <x v="80"/>
    <x v="2"/>
    <x v="0"/>
    <x v="2"/>
  </r>
  <r>
    <s v="ORD00082"/>
    <x v="72"/>
    <s v="C0066"/>
    <x v="61"/>
    <x v="0"/>
    <x v="0"/>
    <s v="P1010"/>
    <x v="7"/>
    <x v="3"/>
    <n v="6"/>
    <n v="2969"/>
    <n v="16032.6"/>
    <x v="81"/>
    <x v="1"/>
    <x v="0"/>
    <x v="0"/>
  </r>
  <r>
    <s v="ORD00083"/>
    <x v="73"/>
    <s v="C0173"/>
    <x v="62"/>
    <x v="13"/>
    <x v="8"/>
    <s v="P1018"/>
    <x v="18"/>
    <x v="1"/>
    <n v="6"/>
    <n v="719"/>
    <n v="3882.6"/>
    <x v="82"/>
    <x v="0"/>
    <x v="0"/>
    <x v="2"/>
  </r>
  <r>
    <s v="ORD00084"/>
    <x v="74"/>
    <s v="C0173"/>
    <x v="62"/>
    <x v="5"/>
    <x v="3"/>
    <s v="P1019"/>
    <x v="1"/>
    <x v="1"/>
    <n v="7"/>
    <n v="1759"/>
    <n v="11697.35"/>
    <x v="83"/>
    <x v="1"/>
    <x v="0"/>
    <x v="0"/>
  </r>
  <r>
    <s v="ORD00085"/>
    <x v="75"/>
    <s v="C0084"/>
    <x v="60"/>
    <x v="12"/>
    <x v="3"/>
    <s v="P1003"/>
    <x v="15"/>
    <x v="0"/>
    <n v="8"/>
    <n v="1979"/>
    <n v="15040.4"/>
    <x v="84"/>
    <x v="3"/>
    <x v="0"/>
    <x v="0"/>
  </r>
  <r>
    <s v="ORD00086"/>
    <x v="46"/>
    <s v="C0127"/>
    <x v="22"/>
    <x v="9"/>
    <x v="1"/>
    <s v="P1004"/>
    <x v="11"/>
    <x v="0"/>
    <n v="4"/>
    <n v="1574"/>
    <n v="6296"/>
    <x v="85"/>
    <x v="2"/>
    <x v="0"/>
    <x v="1"/>
  </r>
  <r>
    <s v="ORD00087"/>
    <x v="76"/>
    <s v="C0139"/>
    <x v="47"/>
    <x v="6"/>
    <x v="4"/>
    <s v="P1019"/>
    <x v="1"/>
    <x v="1"/>
    <n v="3"/>
    <n v="1599"/>
    <n v="3837.6"/>
    <x v="86"/>
    <x v="4"/>
    <x v="0"/>
    <x v="2"/>
  </r>
  <r>
    <s v="ORD00088"/>
    <x v="77"/>
    <s v="C0177"/>
    <x v="46"/>
    <x v="17"/>
    <x v="7"/>
    <s v="P1007"/>
    <x v="13"/>
    <x v="2"/>
    <n v="8"/>
    <n v="2299"/>
    <n v="18392"/>
    <x v="87"/>
    <x v="3"/>
    <x v="1"/>
    <x v="0"/>
  </r>
  <r>
    <s v="ORD00089"/>
    <x v="6"/>
    <s v="C0166"/>
    <x v="4"/>
    <x v="17"/>
    <x v="7"/>
    <s v="P1002"/>
    <x v="14"/>
    <x v="0"/>
    <n v="7"/>
    <n v="2499"/>
    <n v="17493"/>
    <x v="88"/>
    <x v="4"/>
    <x v="0"/>
    <x v="0"/>
  </r>
  <r>
    <s v="ORD00090"/>
    <x v="78"/>
    <s v="C0164"/>
    <x v="63"/>
    <x v="14"/>
    <x v="1"/>
    <s v="P1002"/>
    <x v="14"/>
    <x v="0"/>
    <n v="6"/>
    <n v="2499"/>
    <n v="14994"/>
    <x v="89"/>
    <x v="1"/>
    <x v="0"/>
    <x v="0"/>
  </r>
  <r>
    <s v="ORD00091"/>
    <x v="48"/>
    <s v="C0151"/>
    <x v="64"/>
    <x v="16"/>
    <x v="6"/>
    <s v="P1008"/>
    <x v="2"/>
    <x v="2"/>
    <n v="6"/>
    <n v="1299"/>
    <n v="6624.9"/>
    <x v="90"/>
    <x v="1"/>
    <x v="1"/>
    <x v="1"/>
  </r>
  <r>
    <s v="ORD00092"/>
    <x v="79"/>
    <s v="C0045"/>
    <x v="65"/>
    <x v="9"/>
    <x v="1"/>
    <s v="P1001"/>
    <x v="6"/>
    <x v="0"/>
    <n v="3"/>
    <n v="539"/>
    <n v="1536.15"/>
    <x v="91"/>
    <x v="1"/>
    <x v="0"/>
    <x v="2"/>
  </r>
  <r>
    <s v="ORD00093"/>
    <x v="80"/>
    <s v="C0068"/>
    <x v="66"/>
    <x v="1"/>
    <x v="1"/>
    <s v="P1005"/>
    <x v="0"/>
    <x v="0"/>
    <n v="7"/>
    <n v="4199"/>
    <n v="29393"/>
    <x v="92"/>
    <x v="4"/>
    <x v="0"/>
    <x v="0"/>
  </r>
  <r>
    <s v="ORD00094"/>
    <x v="81"/>
    <s v="C0152"/>
    <x v="67"/>
    <x v="9"/>
    <x v="1"/>
    <s v="P1015"/>
    <x v="4"/>
    <x v="4"/>
    <n v="4"/>
    <n v="8399"/>
    <n v="33596"/>
    <x v="93"/>
    <x v="0"/>
    <x v="0"/>
    <x v="0"/>
  </r>
  <r>
    <s v="ORD00095"/>
    <x v="82"/>
    <s v="C0016"/>
    <x v="57"/>
    <x v="0"/>
    <x v="0"/>
    <s v="P1013"/>
    <x v="19"/>
    <x v="5"/>
    <n v="7"/>
    <n v="164"/>
    <n v="1148"/>
    <x v="94"/>
    <x v="4"/>
    <x v="0"/>
    <x v="2"/>
  </r>
  <r>
    <s v="ORD00096"/>
    <x v="83"/>
    <s v="C0156"/>
    <x v="20"/>
    <x v="8"/>
    <x v="6"/>
    <s v="P1003"/>
    <x v="15"/>
    <x v="0"/>
    <n v="3"/>
    <n v="1799"/>
    <n v="4587.45"/>
    <x v="95"/>
    <x v="0"/>
    <x v="0"/>
    <x v="2"/>
  </r>
  <r>
    <s v="ORD00097"/>
    <x v="84"/>
    <s v="C0136"/>
    <x v="24"/>
    <x v="4"/>
    <x v="2"/>
    <s v="P1015"/>
    <x v="4"/>
    <x v="4"/>
    <n v="7"/>
    <n v="7199"/>
    <n v="40314.400000000001"/>
    <x v="96"/>
    <x v="0"/>
    <x v="0"/>
    <x v="0"/>
  </r>
  <r>
    <s v="ORD00098"/>
    <x v="85"/>
    <s v="C0116"/>
    <x v="68"/>
    <x v="12"/>
    <x v="3"/>
    <s v="P1014"/>
    <x v="8"/>
    <x v="4"/>
    <n v="6"/>
    <n v="6499"/>
    <n v="35094.6"/>
    <x v="97"/>
    <x v="3"/>
    <x v="0"/>
    <x v="0"/>
  </r>
  <r>
    <s v="ORD00099"/>
    <x v="86"/>
    <s v="C0066"/>
    <x v="61"/>
    <x v="17"/>
    <x v="7"/>
    <s v="P1005"/>
    <x v="0"/>
    <x v="0"/>
    <n v="8"/>
    <n v="3599"/>
    <n v="28792"/>
    <x v="98"/>
    <x v="3"/>
    <x v="0"/>
    <x v="0"/>
  </r>
  <r>
    <s v="ORD00100"/>
    <x v="87"/>
    <s v="C0034"/>
    <x v="69"/>
    <x v="7"/>
    <x v="5"/>
    <s v="P1002"/>
    <x v="14"/>
    <x v="0"/>
    <n v="6"/>
    <n v="2749"/>
    <n v="16494"/>
    <x v="99"/>
    <x v="4"/>
    <x v="2"/>
    <x v="0"/>
  </r>
  <r>
    <s v="ORD00101"/>
    <x v="8"/>
    <s v="C0074"/>
    <x v="15"/>
    <x v="4"/>
    <x v="2"/>
    <s v="P1012"/>
    <x v="9"/>
    <x v="5"/>
    <n v="2"/>
    <n v="261"/>
    <n v="443.7"/>
    <x v="100"/>
    <x v="4"/>
    <x v="0"/>
    <x v="2"/>
  </r>
  <r>
    <s v="ORD00102"/>
    <x v="88"/>
    <s v="C0143"/>
    <x v="70"/>
    <x v="17"/>
    <x v="7"/>
    <s v="P1004"/>
    <x v="11"/>
    <x v="0"/>
    <n v="5"/>
    <n v="1574"/>
    <n v="7870"/>
    <x v="101"/>
    <x v="0"/>
    <x v="1"/>
    <x v="1"/>
  </r>
  <r>
    <s v="ORD00103"/>
    <x v="89"/>
    <s v="C0173"/>
    <x v="62"/>
    <x v="7"/>
    <x v="5"/>
    <s v="P1001"/>
    <x v="6"/>
    <x v="0"/>
    <n v="5"/>
    <n v="539"/>
    <n v="2695"/>
    <x v="102"/>
    <x v="2"/>
    <x v="2"/>
    <x v="2"/>
  </r>
  <r>
    <s v="ORD00104"/>
    <x v="90"/>
    <s v="C0047"/>
    <x v="71"/>
    <x v="8"/>
    <x v="6"/>
    <s v="P1019"/>
    <x v="1"/>
    <x v="1"/>
    <n v="7"/>
    <n v="1439"/>
    <n v="10073"/>
    <x v="103"/>
    <x v="3"/>
    <x v="0"/>
    <x v="0"/>
  </r>
  <r>
    <s v="ORD00105"/>
    <x v="91"/>
    <s v="C0097"/>
    <x v="72"/>
    <x v="6"/>
    <x v="4"/>
    <s v="P1015"/>
    <x v="4"/>
    <x v="4"/>
    <n v="6"/>
    <n v="7999"/>
    <n v="45594.3"/>
    <x v="104"/>
    <x v="2"/>
    <x v="3"/>
    <x v="0"/>
  </r>
  <r>
    <s v="ORD00106"/>
    <x v="84"/>
    <s v="C0022"/>
    <x v="44"/>
    <x v="1"/>
    <x v="1"/>
    <s v="P1005"/>
    <x v="0"/>
    <x v="0"/>
    <n v="3"/>
    <n v="4199"/>
    <n v="12597"/>
    <x v="105"/>
    <x v="2"/>
    <x v="0"/>
    <x v="0"/>
  </r>
  <r>
    <s v="ORD00107"/>
    <x v="92"/>
    <s v="C0156"/>
    <x v="20"/>
    <x v="15"/>
    <x v="9"/>
    <s v="P1014"/>
    <x v="8"/>
    <x v="4"/>
    <n v="5"/>
    <n v="6499"/>
    <n v="27620.75"/>
    <x v="106"/>
    <x v="4"/>
    <x v="0"/>
    <x v="0"/>
  </r>
  <r>
    <s v="ORD00108"/>
    <x v="93"/>
    <s v="C0152"/>
    <x v="67"/>
    <x v="0"/>
    <x v="0"/>
    <s v="P1017"/>
    <x v="17"/>
    <x v="6"/>
    <n v="5"/>
    <n v="1709"/>
    <n v="8545"/>
    <x v="107"/>
    <x v="0"/>
    <x v="0"/>
    <x v="1"/>
  </r>
  <r>
    <s v="ORD00109"/>
    <x v="94"/>
    <s v="C0055"/>
    <x v="5"/>
    <x v="8"/>
    <x v="6"/>
    <s v="P1009"/>
    <x v="5"/>
    <x v="3"/>
    <n v="5"/>
    <n v="399"/>
    <n v="1995"/>
    <x v="108"/>
    <x v="4"/>
    <x v="0"/>
    <x v="2"/>
  </r>
  <r>
    <s v="ORD00110"/>
    <x v="95"/>
    <s v="C0059"/>
    <x v="48"/>
    <x v="3"/>
    <x v="0"/>
    <s v="P1018"/>
    <x v="18"/>
    <x v="1"/>
    <n v="6"/>
    <n v="719"/>
    <n v="3882.6"/>
    <x v="109"/>
    <x v="3"/>
    <x v="0"/>
    <x v="2"/>
  </r>
  <r>
    <s v="ORD00111"/>
    <x v="96"/>
    <s v="C0081"/>
    <x v="67"/>
    <x v="6"/>
    <x v="4"/>
    <s v="P1019"/>
    <x v="1"/>
    <x v="1"/>
    <n v="7"/>
    <n v="1759"/>
    <n v="9850.4"/>
    <x v="110"/>
    <x v="3"/>
    <x v="0"/>
    <x v="1"/>
  </r>
  <r>
    <s v="ORD00112"/>
    <x v="97"/>
    <s v="C0159"/>
    <x v="73"/>
    <x v="15"/>
    <x v="9"/>
    <s v="P1012"/>
    <x v="9"/>
    <x v="5"/>
    <n v="2"/>
    <n v="249"/>
    <n v="498"/>
    <x v="111"/>
    <x v="0"/>
    <x v="0"/>
    <x v="2"/>
  </r>
  <r>
    <s v="ORD00113"/>
    <x v="98"/>
    <s v="C0080"/>
    <x v="74"/>
    <x v="11"/>
    <x v="7"/>
    <s v="P1008"/>
    <x v="2"/>
    <x v="2"/>
    <n v="6"/>
    <n v="1299"/>
    <n v="7794"/>
    <x v="112"/>
    <x v="3"/>
    <x v="0"/>
    <x v="1"/>
  </r>
  <r>
    <s v="ORD00114"/>
    <x v="99"/>
    <s v="C0090"/>
    <x v="75"/>
    <x v="8"/>
    <x v="6"/>
    <s v="P1008"/>
    <x v="2"/>
    <x v="2"/>
    <n v="2"/>
    <n v="1299"/>
    <n v="2468.1"/>
    <x v="113"/>
    <x v="0"/>
    <x v="0"/>
    <x v="2"/>
  </r>
  <r>
    <s v="ORD00115"/>
    <x v="100"/>
    <s v="C0046"/>
    <x v="40"/>
    <x v="0"/>
    <x v="0"/>
    <s v="P1015"/>
    <x v="4"/>
    <x v="4"/>
    <n v="8"/>
    <n v="8799"/>
    <n v="59833.2"/>
    <x v="114"/>
    <x v="0"/>
    <x v="0"/>
    <x v="0"/>
  </r>
  <r>
    <s v="ORD00116"/>
    <x v="101"/>
    <s v="C0039"/>
    <x v="52"/>
    <x v="15"/>
    <x v="9"/>
    <s v="P1003"/>
    <x v="15"/>
    <x v="0"/>
    <n v="8"/>
    <n v="1799"/>
    <n v="11513.6"/>
    <x v="115"/>
    <x v="2"/>
    <x v="0"/>
    <x v="0"/>
  </r>
  <r>
    <s v="ORD00117"/>
    <x v="36"/>
    <s v="C0019"/>
    <x v="76"/>
    <x v="4"/>
    <x v="2"/>
    <s v="P1015"/>
    <x v="4"/>
    <x v="4"/>
    <n v="8"/>
    <n v="7199"/>
    <n v="57592"/>
    <x v="116"/>
    <x v="2"/>
    <x v="0"/>
    <x v="0"/>
  </r>
  <r>
    <s v="ORD00118"/>
    <x v="89"/>
    <s v="C0153"/>
    <x v="2"/>
    <x v="3"/>
    <x v="0"/>
    <s v="P1013"/>
    <x v="19"/>
    <x v="5"/>
    <n v="8"/>
    <n v="156"/>
    <n v="1060.8"/>
    <x v="117"/>
    <x v="3"/>
    <x v="0"/>
    <x v="2"/>
  </r>
  <r>
    <s v="ORD00119"/>
    <x v="32"/>
    <s v="C0049"/>
    <x v="77"/>
    <x v="11"/>
    <x v="7"/>
    <s v="P1020"/>
    <x v="12"/>
    <x v="3"/>
    <n v="8"/>
    <n v="576"/>
    <n v="4608"/>
    <x v="118"/>
    <x v="4"/>
    <x v="0"/>
    <x v="2"/>
  </r>
  <r>
    <s v="ORD00120"/>
    <x v="102"/>
    <s v="C0130"/>
    <x v="18"/>
    <x v="10"/>
    <x v="6"/>
    <s v="P1002"/>
    <x v="14"/>
    <x v="0"/>
    <n v="4"/>
    <n v="2749"/>
    <n v="9896.4"/>
    <x v="119"/>
    <x v="0"/>
    <x v="0"/>
    <x v="1"/>
  </r>
  <r>
    <s v="ORD00121"/>
    <x v="103"/>
    <s v="C0096"/>
    <x v="78"/>
    <x v="4"/>
    <x v="2"/>
    <s v="P1013"/>
    <x v="19"/>
    <x v="5"/>
    <n v="7"/>
    <n v="149"/>
    <n v="834.4"/>
    <x v="120"/>
    <x v="2"/>
    <x v="0"/>
    <x v="2"/>
  </r>
  <r>
    <s v="ORD00122"/>
    <x v="104"/>
    <s v="C0174"/>
    <x v="19"/>
    <x v="13"/>
    <x v="8"/>
    <s v="P1010"/>
    <x v="7"/>
    <x v="3"/>
    <n v="5"/>
    <n v="3629"/>
    <n v="14516"/>
    <x v="121"/>
    <x v="0"/>
    <x v="2"/>
    <x v="0"/>
  </r>
  <r>
    <s v="ORD00123"/>
    <x v="105"/>
    <s v="C0150"/>
    <x v="57"/>
    <x v="8"/>
    <x v="6"/>
    <s v="P1012"/>
    <x v="9"/>
    <x v="5"/>
    <n v="5"/>
    <n v="274"/>
    <n v="1096"/>
    <x v="122"/>
    <x v="1"/>
    <x v="0"/>
    <x v="2"/>
  </r>
  <r>
    <s v="ORD00124"/>
    <x v="106"/>
    <s v="C0144"/>
    <x v="62"/>
    <x v="13"/>
    <x v="8"/>
    <s v="P1011"/>
    <x v="3"/>
    <x v="3"/>
    <n v="3"/>
    <n v="989"/>
    <n v="2373.6"/>
    <x v="123"/>
    <x v="0"/>
    <x v="0"/>
    <x v="2"/>
  </r>
  <r>
    <s v="ORD00125"/>
    <x v="107"/>
    <s v="C0131"/>
    <x v="54"/>
    <x v="17"/>
    <x v="7"/>
    <s v="P1001"/>
    <x v="6"/>
    <x v="0"/>
    <n v="6"/>
    <n v="599"/>
    <n v="3594"/>
    <x v="124"/>
    <x v="2"/>
    <x v="1"/>
    <x v="2"/>
  </r>
  <r>
    <s v="ORD00126"/>
    <x v="14"/>
    <s v="C0058"/>
    <x v="16"/>
    <x v="8"/>
    <x v="6"/>
    <s v="P1005"/>
    <x v="0"/>
    <x v="0"/>
    <n v="2"/>
    <n v="3999"/>
    <n v="7998"/>
    <x v="125"/>
    <x v="0"/>
    <x v="3"/>
    <x v="1"/>
  </r>
  <r>
    <s v="ORD00127"/>
    <x v="108"/>
    <s v="C0170"/>
    <x v="0"/>
    <x v="11"/>
    <x v="7"/>
    <s v="P1020"/>
    <x v="12"/>
    <x v="3"/>
    <n v="3"/>
    <n v="576"/>
    <n v="1555.2"/>
    <x v="126"/>
    <x v="1"/>
    <x v="3"/>
    <x v="2"/>
  </r>
  <r>
    <s v="ORD00128"/>
    <x v="72"/>
    <s v="C0113"/>
    <x v="26"/>
    <x v="1"/>
    <x v="1"/>
    <s v="P1014"/>
    <x v="8"/>
    <x v="4"/>
    <n v="6"/>
    <n v="7149"/>
    <n v="34315.199999999997"/>
    <x v="127"/>
    <x v="4"/>
    <x v="0"/>
    <x v="0"/>
  </r>
  <r>
    <s v="ORD00129"/>
    <x v="109"/>
    <s v="C0060"/>
    <x v="79"/>
    <x v="7"/>
    <x v="5"/>
    <s v="P1008"/>
    <x v="2"/>
    <x v="2"/>
    <n v="5"/>
    <n v="1299"/>
    <n v="6495"/>
    <x v="128"/>
    <x v="0"/>
    <x v="1"/>
    <x v="1"/>
  </r>
  <r>
    <s v="ORD00130"/>
    <x v="110"/>
    <s v="C0098"/>
    <x v="13"/>
    <x v="3"/>
    <x v="0"/>
    <s v="P1017"/>
    <x v="17"/>
    <x v="6"/>
    <n v="7"/>
    <n v="1899"/>
    <n v="13293"/>
    <x v="129"/>
    <x v="1"/>
    <x v="2"/>
    <x v="0"/>
  </r>
  <r>
    <s v="ORD00131"/>
    <x v="78"/>
    <s v="C0124"/>
    <x v="75"/>
    <x v="17"/>
    <x v="7"/>
    <s v="P1018"/>
    <x v="18"/>
    <x v="1"/>
    <n v="2"/>
    <n v="879"/>
    <n v="1494.3"/>
    <x v="130"/>
    <x v="2"/>
    <x v="0"/>
    <x v="2"/>
  </r>
  <r>
    <s v="ORD00132"/>
    <x v="111"/>
    <s v="C0116"/>
    <x v="68"/>
    <x v="3"/>
    <x v="0"/>
    <s v="P1005"/>
    <x v="0"/>
    <x v="0"/>
    <n v="7"/>
    <n v="3599"/>
    <n v="25193"/>
    <x v="131"/>
    <x v="2"/>
    <x v="2"/>
    <x v="0"/>
  </r>
  <r>
    <s v="ORD00133"/>
    <x v="112"/>
    <s v="C0102"/>
    <x v="80"/>
    <x v="3"/>
    <x v="0"/>
    <s v="P1012"/>
    <x v="9"/>
    <x v="5"/>
    <n v="4"/>
    <n v="249"/>
    <n v="996"/>
    <x v="132"/>
    <x v="3"/>
    <x v="0"/>
    <x v="2"/>
  </r>
  <r>
    <s v="ORD00134"/>
    <x v="113"/>
    <s v="C0086"/>
    <x v="3"/>
    <x v="8"/>
    <x v="6"/>
    <s v="P1005"/>
    <x v="0"/>
    <x v="0"/>
    <n v="1"/>
    <n v="3999"/>
    <n v="3599.1"/>
    <x v="133"/>
    <x v="1"/>
    <x v="0"/>
    <x v="2"/>
  </r>
  <r>
    <s v="ORD00135"/>
    <x v="109"/>
    <s v="C0158"/>
    <x v="81"/>
    <x v="14"/>
    <x v="1"/>
    <s v="P1003"/>
    <x v="15"/>
    <x v="0"/>
    <n v="1"/>
    <n v="1799"/>
    <n v="1799"/>
    <x v="134"/>
    <x v="0"/>
    <x v="1"/>
    <x v="2"/>
  </r>
  <r>
    <s v="ORD00136"/>
    <x v="114"/>
    <s v="C0109"/>
    <x v="0"/>
    <x v="9"/>
    <x v="1"/>
    <s v="P1010"/>
    <x v="7"/>
    <x v="3"/>
    <n v="4"/>
    <n v="3299"/>
    <n v="13196"/>
    <x v="135"/>
    <x v="4"/>
    <x v="0"/>
    <x v="0"/>
  </r>
  <r>
    <s v="ORD00137"/>
    <x v="115"/>
    <s v="C0017"/>
    <x v="43"/>
    <x v="9"/>
    <x v="1"/>
    <s v="P1016"/>
    <x v="10"/>
    <x v="6"/>
    <n v="1"/>
    <n v="1099"/>
    <n v="934.15"/>
    <x v="136"/>
    <x v="1"/>
    <x v="0"/>
    <x v="2"/>
  </r>
  <r>
    <s v="ORD00138"/>
    <x v="89"/>
    <s v="C0091"/>
    <x v="34"/>
    <x v="12"/>
    <x v="3"/>
    <s v="P1019"/>
    <x v="1"/>
    <x v="1"/>
    <n v="7"/>
    <n v="1599"/>
    <n v="8954.4"/>
    <x v="137"/>
    <x v="0"/>
    <x v="1"/>
    <x v="1"/>
  </r>
  <r>
    <s v="ORD00139"/>
    <x v="116"/>
    <s v="C0140"/>
    <x v="6"/>
    <x v="3"/>
    <x v="0"/>
    <s v="P1017"/>
    <x v="17"/>
    <x v="6"/>
    <n v="1"/>
    <n v="1899"/>
    <n v="1709.1"/>
    <x v="138"/>
    <x v="4"/>
    <x v="1"/>
    <x v="2"/>
  </r>
  <r>
    <s v="ORD00140"/>
    <x v="117"/>
    <s v="C0092"/>
    <x v="82"/>
    <x v="2"/>
    <x v="1"/>
    <s v="P1012"/>
    <x v="9"/>
    <x v="5"/>
    <n v="4"/>
    <n v="274"/>
    <n v="876.8"/>
    <x v="139"/>
    <x v="0"/>
    <x v="0"/>
    <x v="2"/>
  </r>
  <r>
    <s v="ORD00141"/>
    <x v="118"/>
    <s v="C0012"/>
    <x v="21"/>
    <x v="17"/>
    <x v="7"/>
    <s v="P1018"/>
    <x v="18"/>
    <x v="1"/>
    <n v="6"/>
    <n v="879"/>
    <n v="5274"/>
    <x v="140"/>
    <x v="4"/>
    <x v="1"/>
    <x v="1"/>
  </r>
  <r>
    <s v="ORD00142"/>
    <x v="119"/>
    <s v="C0047"/>
    <x v="71"/>
    <x v="8"/>
    <x v="6"/>
    <s v="P1003"/>
    <x v="15"/>
    <x v="0"/>
    <n v="8"/>
    <n v="1619"/>
    <n v="12304.4"/>
    <x v="141"/>
    <x v="1"/>
    <x v="2"/>
    <x v="0"/>
  </r>
  <r>
    <s v="ORD00143"/>
    <x v="106"/>
    <s v="C0132"/>
    <x v="47"/>
    <x v="13"/>
    <x v="8"/>
    <s v="P1018"/>
    <x v="18"/>
    <x v="1"/>
    <n v="8"/>
    <n v="799"/>
    <n v="6392"/>
    <x v="142"/>
    <x v="1"/>
    <x v="0"/>
    <x v="1"/>
  </r>
  <r>
    <s v="ORD00144"/>
    <x v="120"/>
    <s v="C0085"/>
    <x v="83"/>
    <x v="5"/>
    <x v="3"/>
    <s v="P1004"/>
    <x v="11"/>
    <x v="0"/>
    <n v="6"/>
    <n v="1499"/>
    <n v="8094.6"/>
    <x v="143"/>
    <x v="4"/>
    <x v="0"/>
    <x v="1"/>
  </r>
  <r>
    <s v="ORD00145"/>
    <x v="68"/>
    <s v="C0178"/>
    <x v="49"/>
    <x v="0"/>
    <x v="0"/>
    <s v="P1012"/>
    <x v="9"/>
    <x v="5"/>
    <n v="5"/>
    <n v="224"/>
    <n v="896"/>
    <x v="144"/>
    <x v="4"/>
    <x v="0"/>
    <x v="2"/>
  </r>
  <r>
    <s v="ORD00146"/>
    <x v="121"/>
    <s v="C0076"/>
    <x v="84"/>
    <x v="11"/>
    <x v="7"/>
    <s v="P1004"/>
    <x v="11"/>
    <x v="0"/>
    <n v="2"/>
    <n v="1499"/>
    <n v="2398.4"/>
    <x v="145"/>
    <x v="4"/>
    <x v="0"/>
    <x v="2"/>
  </r>
  <r>
    <s v="ORD00147"/>
    <x v="122"/>
    <s v="C0177"/>
    <x v="46"/>
    <x v="15"/>
    <x v="9"/>
    <s v="P1012"/>
    <x v="9"/>
    <x v="5"/>
    <n v="8"/>
    <n v="224"/>
    <n v="1433.6"/>
    <x v="146"/>
    <x v="3"/>
    <x v="0"/>
    <x v="2"/>
  </r>
  <r>
    <s v="ORD00148"/>
    <x v="26"/>
    <s v="C0164"/>
    <x v="63"/>
    <x v="1"/>
    <x v="1"/>
    <s v="P1003"/>
    <x v="15"/>
    <x v="0"/>
    <n v="7"/>
    <n v="1799"/>
    <n v="10704.05"/>
    <x v="147"/>
    <x v="1"/>
    <x v="1"/>
    <x v="0"/>
  </r>
  <r>
    <s v="ORD00149"/>
    <x v="123"/>
    <s v="C0174"/>
    <x v="19"/>
    <x v="15"/>
    <x v="9"/>
    <s v="P1002"/>
    <x v="14"/>
    <x v="0"/>
    <n v="3"/>
    <n v="2249"/>
    <n v="6747"/>
    <x v="148"/>
    <x v="2"/>
    <x v="0"/>
    <x v="1"/>
  </r>
  <r>
    <s v="ORD00150"/>
    <x v="77"/>
    <s v="C0155"/>
    <x v="85"/>
    <x v="8"/>
    <x v="6"/>
    <s v="P1015"/>
    <x v="4"/>
    <x v="4"/>
    <n v="6"/>
    <n v="7999"/>
    <n v="43194.6"/>
    <x v="149"/>
    <x v="0"/>
    <x v="0"/>
    <x v="0"/>
  </r>
  <r>
    <s v="ORD00151"/>
    <x v="124"/>
    <s v="C0081"/>
    <x v="67"/>
    <x v="5"/>
    <x v="3"/>
    <s v="P1008"/>
    <x v="2"/>
    <x v="2"/>
    <n v="2"/>
    <n v="1169"/>
    <n v="1870.4"/>
    <x v="150"/>
    <x v="0"/>
    <x v="0"/>
    <x v="2"/>
  </r>
  <r>
    <s v="ORD00152"/>
    <x v="125"/>
    <s v="C0068"/>
    <x v="66"/>
    <x v="5"/>
    <x v="3"/>
    <s v="P1015"/>
    <x v="4"/>
    <x v="4"/>
    <n v="4"/>
    <n v="8399"/>
    <n v="31916.2"/>
    <x v="151"/>
    <x v="4"/>
    <x v="0"/>
    <x v="0"/>
  </r>
  <r>
    <s v="ORD00153"/>
    <x v="126"/>
    <s v="C0116"/>
    <x v="68"/>
    <x v="10"/>
    <x v="6"/>
    <s v="P1015"/>
    <x v="4"/>
    <x v="4"/>
    <n v="2"/>
    <n v="8799"/>
    <n v="16718.099999999999"/>
    <x v="152"/>
    <x v="3"/>
    <x v="0"/>
    <x v="0"/>
  </r>
  <r>
    <s v="ORD00154"/>
    <x v="17"/>
    <s v="C0041"/>
    <x v="25"/>
    <x v="10"/>
    <x v="6"/>
    <s v="P1012"/>
    <x v="9"/>
    <x v="5"/>
    <n v="4"/>
    <n v="224"/>
    <n v="896"/>
    <x v="153"/>
    <x v="1"/>
    <x v="3"/>
    <x v="2"/>
  </r>
  <r>
    <s v="ORD00155"/>
    <x v="127"/>
    <s v="C0142"/>
    <x v="10"/>
    <x v="17"/>
    <x v="7"/>
    <s v="P1015"/>
    <x v="4"/>
    <x v="4"/>
    <n v="3"/>
    <n v="8399"/>
    <n v="25197"/>
    <x v="154"/>
    <x v="4"/>
    <x v="1"/>
    <x v="0"/>
  </r>
  <r>
    <s v="ORD00156"/>
    <x v="128"/>
    <s v="C0135"/>
    <x v="53"/>
    <x v="6"/>
    <x v="4"/>
    <s v="P1014"/>
    <x v="8"/>
    <x v="4"/>
    <n v="2"/>
    <n v="6499"/>
    <n v="12348.1"/>
    <x v="155"/>
    <x v="4"/>
    <x v="0"/>
    <x v="0"/>
  </r>
  <r>
    <s v="ORD00157"/>
    <x v="129"/>
    <s v="C0033"/>
    <x v="38"/>
    <x v="7"/>
    <x v="5"/>
    <s v="P1019"/>
    <x v="1"/>
    <x v="1"/>
    <n v="3"/>
    <n v="1599"/>
    <n v="4317.3"/>
    <x v="156"/>
    <x v="3"/>
    <x v="3"/>
    <x v="2"/>
  </r>
  <r>
    <s v="ORD00158"/>
    <x v="130"/>
    <s v="C0078"/>
    <x v="6"/>
    <x v="10"/>
    <x v="6"/>
    <s v="P1006"/>
    <x v="16"/>
    <x v="2"/>
    <n v="6"/>
    <n v="769"/>
    <n v="4614"/>
    <x v="157"/>
    <x v="0"/>
    <x v="2"/>
    <x v="2"/>
  </r>
  <r>
    <s v="ORD00159"/>
    <x v="79"/>
    <s v="C0051"/>
    <x v="86"/>
    <x v="7"/>
    <x v="5"/>
    <s v="P1009"/>
    <x v="5"/>
    <x v="3"/>
    <n v="3"/>
    <n v="439"/>
    <n v="1251.1500000000001"/>
    <x v="158"/>
    <x v="3"/>
    <x v="0"/>
    <x v="2"/>
  </r>
  <r>
    <s v="ORD00160"/>
    <x v="38"/>
    <s v="C0149"/>
    <x v="87"/>
    <x v="8"/>
    <x v="6"/>
    <s v="P1006"/>
    <x v="16"/>
    <x v="2"/>
    <n v="6"/>
    <n v="734"/>
    <n v="4404"/>
    <x v="159"/>
    <x v="3"/>
    <x v="0"/>
    <x v="2"/>
  </r>
  <r>
    <s v="ORD00161"/>
    <x v="131"/>
    <s v="C0068"/>
    <x v="66"/>
    <x v="16"/>
    <x v="6"/>
    <s v="P1019"/>
    <x v="1"/>
    <x v="1"/>
    <n v="7"/>
    <n v="1679"/>
    <n v="9402.4"/>
    <x v="160"/>
    <x v="0"/>
    <x v="0"/>
    <x v="1"/>
  </r>
  <r>
    <s v="ORD00162"/>
    <x v="43"/>
    <s v="C0063"/>
    <x v="56"/>
    <x v="13"/>
    <x v="8"/>
    <s v="P1010"/>
    <x v="7"/>
    <x v="3"/>
    <n v="8"/>
    <n v="2969"/>
    <n v="19001.599999999999"/>
    <x v="161"/>
    <x v="4"/>
    <x v="0"/>
    <x v="0"/>
  </r>
  <r>
    <s v="ORD00163"/>
    <x v="132"/>
    <s v="C0088"/>
    <x v="51"/>
    <x v="8"/>
    <x v="6"/>
    <s v="P1011"/>
    <x v="3"/>
    <x v="3"/>
    <n v="6"/>
    <n v="989"/>
    <n v="5637.3"/>
    <x v="162"/>
    <x v="1"/>
    <x v="3"/>
    <x v="1"/>
  </r>
  <r>
    <s v="ORD00164"/>
    <x v="75"/>
    <s v="C0028"/>
    <x v="34"/>
    <x v="11"/>
    <x v="7"/>
    <s v="P1008"/>
    <x v="2"/>
    <x v="2"/>
    <n v="8"/>
    <n v="1169"/>
    <n v="8884.4"/>
    <x v="163"/>
    <x v="1"/>
    <x v="0"/>
    <x v="1"/>
  </r>
  <r>
    <s v="ORD00165"/>
    <x v="22"/>
    <s v="C0158"/>
    <x v="81"/>
    <x v="6"/>
    <x v="4"/>
    <s v="P1008"/>
    <x v="2"/>
    <x v="2"/>
    <n v="3"/>
    <n v="1299"/>
    <n v="3312.45"/>
    <x v="164"/>
    <x v="1"/>
    <x v="3"/>
    <x v="2"/>
  </r>
  <r>
    <s v="ORD00166"/>
    <x v="133"/>
    <s v="C0120"/>
    <x v="88"/>
    <x v="0"/>
    <x v="0"/>
    <s v="P1010"/>
    <x v="7"/>
    <x v="3"/>
    <n v="8"/>
    <n v="2969"/>
    <n v="23752"/>
    <x v="165"/>
    <x v="0"/>
    <x v="0"/>
    <x v="0"/>
  </r>
  <r>
    <s v="ORD00167"/>
    <x v="91"/>
    <s v="C0150"/>
    <x v="57"/>
    <x v="17"/>
    <x v="7"/>
    <s v="P1002"/>
    <x v="14"/>
    <x v="0"/>
    <n v="1"/>
    <n v="2499"/>
    <n v="2249.1"/>
    <x v="166"/>
    <x v="4"/>
    <x v="0"/>
    <x v="2"/>
  </r>
  <r>
    <s v="ORD00168"/>
    <x v="13"/>
    <s v="C0111"/>
    <x v="89"/>
    <x v="8"/>
    <x v="6"/>
    <s v="P1009"/>
    <x v="5"/>
    <x v="3"/>
    <n v="6"/>
    <n v="399"/>
    <n v="2274.3000000000002"/>
    <x v="167"/>
    <x v="3"/>
    <x v="0"/>
    <x v="2"/>
  </r>
  <r>
    <s v="ORD00169"/>
    <x v="134"/>
    <s v="C0142"/>
    <x v="10"/>
    <x v="4"/>
    <x v="2"/>
    <s v="P1003"/>
    <x v="15"/>
    <x v="0"/>
    <n v="7"/>
    <n v="1889"/>
    <n v="11900.7"/>
    <x v="168"/>
    <x v="2"/>
    <x v="3"/>
    <x v="0"/>
  </r>
  <r>
    <s v="ORD00170"/>
    <x v="135"/>
    <s v="C0157"/>
    <x v="90"/>
    <x v="9"/>
    <x v="1"/>
    <s v="P1005"/>
    <x v="0"/>
    <x v="0"/>
    <n v="2"/>
    <n v="3999"/>
    <n v="7598.1"/>
    <x v="169"/>
    <x v="2"/>
    <x v="0"/>
    <x v="1"/>
  </r>
  <r>
    <s v="ORD00171"/>
    <x v="136"/>
    <s v="C0051"/>
    <x v="86"/>
    <x v="3"/>
    <x v="0"/>
    <s v="P1013"/>
    <x v="19"/>
    <x v="5"/>
    <n v="1"/>
    <n v="134"/>
    <n v="134"/>
    <x v="170"/>
    <x v="2"/>
    <x v="3"/>
    <x v="2"/>
  </r>
  <r>
    <s v="ORD00172"/>
    <x v="59"/>
    <s v="C0039"/>
    <x v="52"/>
    <x v="3"/>
    <x v="0"/>
    <s v="P1005"/>
    <x v="0"/>
    <x v="0"/>
    <n v="6"/>
    <n v="4199"/>
    <n v="23934.3"/>
    <x v="171"/>
    <x v="0"/>
    <x v="0"/>
    <x v="0"/>
  </r>
  <r>
    <s v="ORD00173"/>
    <x v="38"/>
    <s v="C0087"/>
    <x v="37"/>
    <x v="3"/>
    <x v="0"/>
    <s v="P1017"/>
    <x v="17"/>
    <x v="6"/>
    <n v="8"/>
    <n v="2089"/>
    <n v="14205.2"/>
    <x v="172"/>
    <x v="3"/>
    <x v="0"/>
    <x v="0"/>
  </r>
  <r>
    <s v="ORD00174"/>
    <x v="137"/>
    <s v="C0107"/>
    <x v="91"/>
    <x v="4"/>
    <x v="2"/>
    <s v="P1001"/>
    <x v="6"/>
    <x v="0"/>
    <n v="8"/>
    <n v="599"/>
    <n v="3833.6"/>
    <x v="173"/>
    <x v="0"/>
    <x v="0"/>
    <x v="2"/>
  </r>
  <r>
    <s v="ORD00175"/>
    <x v="8"/>
    <s v="C0150"/>
    <x v="57"/>
    <x v="0"/>
    <x v="0"/>
    <s v="P1006"/>
    <x v="16"/>
    <x v="2"/>
    <n v="7"/>
    <n v="699"/>
    <n v="3914.4"/>
    <x v="174"/>
    <x v="0"/>
    <x v="1"/>
    <x v="2"/>
  </r>
  <r>
    <s v="ORD00176"/>
    <x v="138"/>
    <s v="C0005"/>
    <x v="51"/>
    <x v="15"/>
    <x v="9"/>
    <s v="P1011"/>
    <x v="3"/>
    <x v="3"/>
    <n v="7"/>
    <n v="899"/>
    <n v="5663.7"/>
    <x v="175"/>
    <x v="4"/>
    <x v="0"/>
    <x v="1"/>
  </r>
  <r>
    <s v="ORD00177"/>
    <x v="139"/>
    <s v="C0016"/>
    <x v="57"/>
    <x v="8"/>
    <x v="6"/>
    <s v="P1017"/>
    <x v="17"/>
    <x v="6"/>
    <n v="4"/>
    <n v="1994"/>
    <n v="7577.2"/>
    <x v="176"/>
    <x v="4"/>
    <x v="0"/>
    <x v="1"/>
  </r>
  <r>
    <s v="ORD00178"/>
    <x v="140"/>
    <s v="C0118"/>
    <x v="92"/>
    <x v="7"/>
    <x v="5"/>
    <s v="P1011"/>
    <x v="3"/>
    <x v="3"/>
    <n v="6"/>
    <n v="989"/>
    <n v="4747.2"/>
    <x v="177"/>
    <x v="2"/>
    <x v="0"/>
    <x v="2"/>
  </r>
  <r>
    <s v="ORD00179"/>
    <x v="141"/>
    <s v="C0072"/>
    <x v="93"/>
    <x v="7"/>
    <x v="5"/>
    <s v="P1010"/>
    <x v="7"/>
    <x v="3"/>
    <n v="4"/>
    <n v="3299"/>
    <n v="12536.2"/>
    <x v="178"/>
    <x v="4"/>
    <x v="0"/>
    <x v="0"/>
  </r>
  <r>
    <s v="ORD00180"/>
    <x v="142"/>
    <s v="C0071"/>
    <x v="38"/>
    <x v="4"/>
    <x v="2"/>
    <s v="P1004"/>
    <x v="11"/>
    <x v="0"/>
    <n v="7"/>
    <n v="1499"/>
    <n v="9968.35"/>
    <x v="179"/>
    <x v="1"/>
    <x v="0"/>
    <x v="1"/>
  </r>
  <r>
    <s v="ORD00181"/>
    <x v="143"/>
    <s v="C0089"/>
    <x v="94"/>
    <x v="15"/>
    <x v="9"/>
    <s v="P1009"/>
    <x v="5"/>
    <x v="3"/>
    <n v="8"/>
    <n v="399"/>
    <n v="3192"/>
    <x v="180"/>
    <x v="2"/>
    <x v="2"/>
    <x v="2"/>
  </r>
  <r>
    <s v="ORD00182"/>
    <x v="111"/>
    <s v="C0036"/>
    <x v="95"/>
    <x v="9"/>
    <x v="1"/>
    <s v="P1020"/>
    <x v="12"/>
    <x v="3"/>
    <n v="4"/>
    <n v="549"/>
    <n v="2196"/>
    <x v="181"/>
    <x v="0"/>
    <x v="0"/>
    <x v="2"/>
  </r>
  <r>
    <s v="ORD00183"/>
    <x v="8"/>
    <s v="C0026"/>
    <x v="96"/>
    <x v="6"/>
    <x v="4"/>
    <s v="P1011"/>
    <x v="3"/>
    <x v="3"/>
    <n v="8"/>
    <n v="809"/>
    <n v="5177.6000000000004"/>
    <x v="182"/>
    <x v="3"/>
    <x v="1"/>
    <x v="1"/>
  </r>
  <r>
    <s v="ORD00184"/>
    <x v="144"/>
    <s v="C0168"/>
    <x v="97"/>
    <x v="0"/>
    <x v="0"/>
    <s v="P1016"/>
    <x v="10"/>
    <x v="6"/>
    <n v="4"/>
    <n v="999"/>
    <n v="3796.2"/>
    <x v="183"/>
    <x v="3"/>
    <x v="2"/>
    <x v="2"/>
  </r>
  <r>
    <s v="ORD00185"/>
    <x v="32"/>
    <s v="C0147"/>
    <x v="98"/>
    <x v="12"/>
    <x v="3"/>
    <s v="P1018"/>
    <x v="18"/>
    <x v="1"/>
    <n v="1"/>
    <n v="799"/>
    <n v="719.1"/>
    <x v="184"/>
    <x v="1"/>
    <x v="2"/>
    <x v="2"/>
  </r>
  <r>
    <s v="ORD00186"/>
    <x v="124"/>
    <s v="C0127"/>
    <x v="22"/>
    <x v="10"/>
    <x v="6"/>
    <s v="P1010"/>
    <x v="7"/>
    <x v="3"/>
    <n v="1"/>
    <n v="2969"/>
    <n v="2820.55"/>
    <x v="185"/>
    <x v="3"/>
    <x v="2"/>
    <x v="2"/>
  </r>
  <r>
    <s v="ORD00187"/>
    <x v="145"/>
    <s v="C0117"/>
    <x v="75"/>
    <x v="7"/>
    <x v="5"/>
    <s v="P1017"/>
    <x v="17"/>
    <x v="6"/>
    <n v="8"/>
    <n v="1899"/>
    <n v="12913.2"/>
    <x v="186"/>
    <x v="1"/>
    <x v="3"/>
    <x v="0"/>
  </r>
  <r>
    <s v="ORD00188"/>
    <x v="146"/>
    <s v="C0118"/>
    <x v="92"/>
    <x v="5"/>
    <x v="3"/>
    <s v="P1006"/>
    <x v="16"/>
    <x v="2"/>
    <n v="1"/>
    <n v="769"/>
    <n v="730.55"/>
    <x v="187"/>
    <x v="0"/>
    <x v="0"/>
    <x v="2"/>
  </r>
  <r>
    <s v="ORD00189"/>
    <x v="80"/>
    <s v="C0157"/>
    <x v="90"/>
    <x v="13"/>
    <x v="8"/>
    <s v="P1014"/>
    <x v="8"/>
    <x v="4"/>
    <n v="6"/>
    <n v="5849"/>
    <n v="31584.6"/>
    <x v="188"/>
    <x v="1"/>
    <x v="1"/>
    <x v="0"/>
  </r>
  <r>
    <s v="ORD00190"/>
    <x v="147"/>
    <s v="C0064"/>
    <x v="11"/>
    <x v="14"/>
    <x v="1"/>
    <s v="P1009"/>
    <x v="5"/>
    <x v="3"/>
    <n v="7"/>
    <n v="399"/>
    <n v="2513.6999999999998"/>
    <x v="189"/>
    <x v="2"/>
    <x v="0"/>
    <x v="2"/>
  </r>
  <r>
    <s v="ORD00191"/>
    <x v="148"/>
    <s v="C0003"/>
    <x v="99"/>
    <x v="5"/>
    <x v="3"/>
    <s v="P1012"/>
    <x v="9"/>
    <x v="5"/>
    <n v="4"/>
    <n v="224"/>
    <n v="716.8"/>
    <x v="190"/>
    <x v="2"/>
    <x v="0"/>
    <x v="2"/>
  </r>
  <r>
    <s v="ORD00192"/>
    <x v="149"/>
    <s v="C0080"/>
    <x v="74"/>
    <x v="9"/>
    <x v="1"/>
    <s v="P1010"/>
    <x v="7"/>
    <x v="3"/>
    <n v="6"/>
    <n v="3464"/>
    <n v="20784"/>
    <x v="191"/>
    <x v="1"/>
    <x v="0"/>
    <x v="0"/>
  </r>
  <r>
    <s v="ORD00193"/>
    <x v="150"/>
    <s v="C0096"/>
    <x v="78"/>
    <x v="6"/>
    <x v="4"/>
    <s v="P1018"/>
    <x v="18"/>
    <x v="1"/>
    <n v="8"/>
    <n v="839"/>
    <n v="5369.6"/>
    <x v="192"/>
    <x v="1"/>
    <x v="0"/>
    <x v="1"/>
  </r>
  <r>
    <s v="ORD00194"/>
    <x v="105"/>
    <s v="C0135"/>
    <x v="53"/>
    <x v="15"/>
    <x v="9"/>
    <s v="P1017"/>
    <x v="17"/>
    <x v="6"/>
    <n v="6"/>
    <n v="1709"/>
    <n v="8715.9"/>
    <x v="193"/>
    <x v="0"/>
    <x v="2"/>
    <x v="1"/>
  </r>
  <r>
    <s v="ORD00195"/>
    <x v="148"/>
    <s v="C0138"/>
    <x v="100"/>
    <x v="8"/>
    <x v="6"/>
    <s v="P1006"/>
    <x v="16"/>
    <x v="2"/>
    <n v="6"/>
    <n v="734"/>
    <n v="3963.6"/>
    <x v="194"/>
    <x v="1"/>
    <x v="0"/>
    <x v="2"/>
  </r>
  <r>
    <s v="ORD00196"/>
    <x v="52"/>
    <s v="C0131"/>
    <x v="54"/>
    <x v="15"/>
    <x v="9"/>
    <s v="P1002"/>
    <x v="14"/>
    <x v="0"/>
    <n v="8"/>
    <n v="2499"/>
    <n v="16993.2"/>
    <x v="195"/>
    <x v="0"/>
    <x v="0"/>
    <x v="0"/>
  </r>
  <r>
    <s v="ORD00197"/>
    <x v="74"/>
    <s v="C0079"/>
    <x v="101"/>
    <x v="14"/>
    <x v="1"/>
    <s v="P1013"/>
    <x v="19"/>
    <x v="5"/>
    <n v="5"/>
    <n v="134"/>
    <n v="536"/>
    <x v="196"/>
    <x v="3"/>
    <x v="0"/>
    <x v="2"/>
  </r>
  <r>
    <s v="ORD00198"/>
    <x v="151"/>
    <s v="C0017"/>
    <x v="43"/>
    <x v="7"/>
    <x v="5"/>
    <s v="P1002"/>
    <x v="14"/>
    <x v="0"/>
    <n v="2"/>
    <n v="2499"/>
    <n v="4998"/>
    <x v="197"/>
    <x v="1"/>
    <x v="3"/>
    <x v="2"/>
  </r>
  <r>
    <s v="ORD00199"/>
    <x v="152"/>
    <s v="C0108"/>
    <x v="31"/>
    <x v="17"/>
    <x v="7"/>
    <s v="P1013"/>
    <x v="19"/>
    <x v="5"/>
    <n v="8"/>
    <n v="149"/>
    <n v="1072.8"/>
    <x v="198"/>
    <x v="0"/>
    <x v="0"/>
    <x v="2"/>
  </r>
  <r>
    <s v="ORD00200"/>
    <x v="125"/>
    <s v="C0046"/>
    <x v="40"/>
    <x v="7"/>
    <x v="5"/>
    <s v="P1013"/>
    <x v="19"/>
    <x v="5"/>
    <n v="3"/>
    <n v="164"/>
    <n v="492"/>
    <x v="199"/>
    <x v="3"/>
    <x v="1"/>
    <x v="2"/>
  </r>
  <r>
    <s v="ORD00201"/>
    <x v="74"/>
    <s v="C0140"/>
    <x v="6"/>
    <x v="6"/>
    <x v="4"/>
    <s v="P1018"/>
    <x v="18"/>
    <x v="1"/>
    <n v="7"/>
    <n v="799"/>
    <n v="5593"/>
    <x v="200"/>
    <x v="1"/>
    <x v="0"/>
    <x v="1"/>
  </r>
  <r>
    <s v="ORD00202"/>
    <x v="153"/>
    <s v="C0009"/>
    <x v="102"/>
    <x v="6"/>
    <x v="4"/>
    <s v="P1020"/>
    <x v="12"/>
    <x v="3"/>
    <n v="1"/>
    <n v="549"/>
    <n v="549"/>
    <x v="100"/>
    <x v="0"/>
    <x v="0"/>
    <x v="2"/>
  </r>
  <r>
    <s v="ORD00203"/>
    <x v="74"/>
    <s v="C0013"/>
    <x v="33"/>
    <x v="12"/>
    <x v="3"/>
    <s v="P1002"/>
    <x v="14"/>
    <x v="0"/>
    <n v="7"/>
    <n v="2499"/>
    <n v="17493"/>
    <x v="201"/>
    <x v="3"/>
    <x v="0"/>
    <x v="0"/>
  </r>
  <r>
    <s v="ORD00204"/>
    <x v="154"/>
    <s v="C0148"/>
    <x v="62"/>
    <x v="11"/>
    <x v="7"/>
    <s v="P1019"/>
    <x v="1"/>
    <x v="1"/>
    <n v="6"/>
    <n v="1599"/>
    <n v="9114.2999999999993"/>
    <x v="202"/>
    <x v="0"/>
    <x v="0"/>
    <x v="1"/>
  </r>
  <r>
    <s v="ORD00205"/>
    <x v="26"/>
    <s v="C0016"/>
    <x v="57"/>
    <x v="7"/>
    <x v="5"/>
    <s v="P1019"/>
    <x v="1"/>
    <x v="1"/>
    <n v="3"/>
    <n v="1759"/>
    <n v="4221.6000000000004"/>
    <x v="203"/>
    <x v="4"/>
    <x v="0"/>
    <x v="2"/>
  </r>
  <r>
    <s v="ORD00206"/>
    <x v="155"/>
    <s v="C0172"/>
    <x v="17"/>
    <x v="13"/>
    <x v="8"/>
    <s v="P1017"/>
    <x v="17"/>
    <x v="6"/>
    <n v="6"/>
    <n v="2089"/>
    <n v="11280.6"/>
    <x v="204"/>
    <x v="2"/>
    <x v="0"/>
    <x v="0"/>
  </r>
  <r>
    <s v="ORD00207"/>
    <x v="156"/>
    <s v="C0062"/>
    <x v="103"/>
    <x v="12"/>
    <x v="3"/>
    <s v="P1010"/>
    <x v="7"/>
    <x v="3"/>
    <n v="3"/>
    <n v="3299"/>
    <n v="9897"/>
    <x v="205"/>
    <x v="4"/>
    <x v="0"/>
    <x v="1"/>
  </r>
  <r>
    <s v="ORD00208"/>
    <x v="157"/>
    <s v="C0063"/>
    <x v="56"/>
    <x v="5"/>
    <x v="3"/>
    <s v="P1007"/>
    <x v="13"/>
    <x v="2"/>
    <n v="6"/>
    <n v="2529"/>
    <n v="15174"/>
    <x v="206"/>
    <x v="2"/>
    <x v="0"/>
    <x v="0"/>
  </r>
  <r>
    <s v="ORD00209"/>
    <x v="138"/>
    <s v="C0014"/>
    <x v="104"/>
    <x v="5"/>
    <x v="3"/>
    <s v="P1013"/>
    <x v="19"/>
    <x v="5"/>
    <n v="1"/>
    <n v="134"/>
    <n v="134"/>
    <x v="207"/>
    <x v="0"/>
    <x v="0"/>
    <x v="2"/>
  </r>
  <r>
    <s v="ORD00210"/>
    <x v="158"/>
    <s v="C0123"/>
    <x v="103"/>
    <x v="16"/>
    <x v="6"/>
    <s v="P1011"/>
    <x v="3"/>
    <x v="3"/>
    <n v="5"/>
    <n v="809"/>
    <n v="4045"/>
    <x v="208"/>
    <x v="3"/>
    <x v="0"/>
    <x v="2"/>
  </r>
  <r>
    <s v="ORD00211"/>
    <x v="35"/>
    <s v="C0179"/>
    <x v="23"/>
    <x v="16"/>
    <x v="6"/>
    <s v="P1013"/>
    <x v="19"/>
    <x v="5"/>
    <n v="4"/>
    <n v="156"/>
    <n v="592.79999999999995"/>
    <x v="209"/>
    <x v="4"/>
    <x v="0"/>
    <x v="2"/>
  </r>
  <r>
    <s v="ORD00212"/>
    <x v="159"/>
    <s v="C0079"/>
    <x v="101"/>
    <x v="5"/>
    <x v="3"/>
    <s v="P1012"/>
    <x v="9"/>
    <x v="5"/>
    <n v="8"/>
    <n v="249"/>
    <n v="1992"/>
    <x v="210"/>
    <x v="4"/>
    <x v="3"/>
    <x v="2"/>
  </r>
  <r>
    <s v="ORD00213"/>
    <x v="132"/>
    <s v="C0095"/>
    <x v="105"/>
    <x v="11"/>
    <x v="7"/>
    <s v="P1014"/>
    <x v="8"/>
    <x v="4"/>
    <n v="1"/>
    <n v="6824"/>
    <n v="6824"/>
    <x v="211"/>
    <x v="3"/>
    <x v="0"/>
    <x v="1"/>
  </r>
  <r>
    <s v="ORD00214"/>
    <x v="19"/>
    <s v="C0107"/>
    <x v="91"/>
    <x v="4"/>
    <x v="2"/>
    <s v="P1005"/>
    <x v="0"/>
    <x v="0"/>
    <n v="4"/>
    <n v="3999"/>
    <n v="15996"/>
    <x v="212"/>
    <x v="1"/>
    <x v="0"/>
    <x v="0"/>
  </r>
  <r>
    <s v="ORD00215"/>
    <x v="160"/>
    <s v="C0087"/>
    <x v="37"/>
    <x v="5"/>
    <x v="3"/>
    <s v="P1016"/>
    <x v="10"/>
    <x v="6"/>
    <n v="8"/>
    <n v="999"/>
    <n v="7992"/>
    <x v="213"/>
    <x v="2"/>
    <x v="0"/>
    <x v="1"/>
  </r>
  <r>
    <s v="ORD00216"/>
    <x v="121"/>
    <s v="C0126"/>
    <x v="95"/>
    <x v="10"/>
    <x v="6"/>
    <s v="P1018"/>
    <x v="18"/>
    <x v="1"/>
    <n v="1"/>
    <n v="839"/>
    <n v="839"/>
    <x v="214"/>
    <x v="3"/>
    <x v="1"/>
    <x v="2"/>
  </r>
  <r>
    <s v="ORD00217"/>
    <x v="161"/>
    <s v="C0002"/>
    <x v="106"/>
    <x v="6"/>
    <x v="4"/>
    <s v="P1005"/>
    <x v="0"/>
    <x v="0"/>
    <n v="4"/>
    <n v="3599"/>
    <n v="11516.8"/>
    <x v="215"/>
    <x v="1"/>
    <x v="0"/>
    <x v="0"/>
  </r>
  <r>
    <s v="ORD00218"/>
    <x v="50"/>
    <s v="C0159"/>
    <x v="73"/>
    <x v="0"/>
    <x v="0"/>
    <s v="P1016"/>
    <x v="10"/>
    <x v="6"/>
    <n v="1"/>
    <n v="899"/>
    <n v="764.15"/>
    <x v="216"/>
    <x v="3"/>
    <x v="0"/>
    <x v="2"/>
  </r>
  <r>
    <s v="ORD00219"/>
    <x v="26"/>
    <s v="C0138"/>
    <x v="100"/>
    <x v="4"/>
    <x v="2"/>
    <s v="P1001"/>
    <x v="6"/>
    <x v="0"/>
    <n v="7"/>
    <n v="599"/>
    <n v="4193"/>
    <x v="217"/>
    <x v="0"/>
    <x v="0"/>
    <x v="2"/>
  </r>
  <r>
    <s v="ORD00220"/>
    <x v="162"/>
    <s v="C0135"/>
    <x v="53"/>
    <x v="5"/>
    <x v="3"/>
    <s v="P1012"/>
    <x v="9"/>
    <x v="5"/>
    <n v="5"/>
    <n v="249"/>
    <n v="1245"/>
    <x v="218"/>
    <x v="4"/>
    <x v="0"/>
    <x v="2"/>
  </r>
  <r>
    <s v="ORD00221"/>
    <x v="76"/>
    <s v="C0058"/>
    <x v="16"/>
    <x v="4"/>
    <x v="2"/>
    <s v="P1003"/>
    <x v="15"/>
    <x v="0"/>
    <n v="1"/>
    <n v="1619"/>
    <n v="1457.1"/>
    <x v="219"/>
    <x v="0"/>
    <x v="0"/>
    <x v="2"/>
  </r>
  <r>
    <s v="ORD00222"/>
    <x v="163"/>
    <s v="C0180"/>
    <x v="58"/>
    <x v="10"/>
    <x v="6"/>
    <s v="P1003"/>
    <x v="15"/>
    <x v="0"/>
    <n v="8"/>
    <n v="1799"/>
    <n v="11513.6"/>
    <x v="220"/>
    <x v="0"/>
    <x v="0"/>
    <x v="0"/>
  </r>
  <r>
    <s v="ORD00223"/>
    <x v="114"/>
    <s v="C0011"/>
    <x v="32"/>
    <x v="12"/>
    <x v="3"/>
    <s v="P1007"/>
    <x v="13"/>
    <x v="2"/>
    <n v="8"/>
    <n v="2299"/>
    <n v="18392"/>
    <x v="221"/>
    <x v="2"/>
    <x v="2"/>
    <x v="0"/>
  </r>
  <r>
    <s v="ORD00224"/>
    <x v="164"/>
    <s v="C0009"/>
    <x v="102"/>
    <x v="10"/>
    <x v="6"/>
    <s v="P1011"/>
    <x v="3"/>
    <x v="3"/>
    <n v="1"/>
    <n v="899"/>
    <n v="764.15"/>
    <x v="222"/>
    <x v="4"/>
    <x v="2"/>
    <x v="2"/>
  </r>
  <r>
    <s v="ORD00225"/>
    <x v="146"/>
    <s v="C0145"/>
    <x v="88"/>
    <x v="12"/>
    <x v="3"/>
    <s v="P1019"/>
    <x v="1"/>
    <x v="1"/>
    <n v="7"/>
    <n v="1759"/>
    <n v="10466.049999999999"/>
    <x v="223"/>
    <x v="1"/>
    <x v="3"/>
    <x v="0"/>
  </r>
  <r>
    <s v="ORD00226"/>
    <x v="143"/>
    <s v="C0129"/>
    <x v="107"/>
    <x v="17"/>
    <x v="7"/>
    <s v="P1002"/>
    <x v="14"/>
    <x v="0"/>
    <n v="2"/>
    <n v="2499"/>
    <n v="4998"/>
    <x v="224"/>
    <x v="2"/>
    <x v="0"/>
    <x v="2"/>
  </r>
  <r>
    <s v="ORD00227"/>
    <x v="165"/>
    <s v="C0102"/>
    <x v="80"/>
    <x v="11"/>
    <x v="7"/>
    <s v="P1001"/>
    <x v="6"/>
    <x v="0"/>
    <n v="5"/>
    <n v="599"/>
    <n v="2695.5"/>
    <x v="225"/>
    <x v="0"/>
    <x v="1"/>
    <x v="2"/>
  </r>
  <r>
    <s v="ORD00228"/>
    <x v="166"/>
    <s v="C0175"/>
    <x v="59"/>
    <x v="13"/>
    <x v="8"/>
    <s v="P1003"/>
    <x v="15"/>
    <x v="0"/>
    <n v="5"/>
    <n v="1799"/>
    <n v="7196"/>
    <x v="226"/>
    <x v="2"/>
    <x v="0"/>
    <x v="1"/>
  </r>
  <r>
    <s v="ORD00229"/>
    <x v="167"/>
    <s v="C0040"/>
    <x v="7"/>
    <x v="13"/>
    <x v="8"/>
    <s v="P1011"/>
    <x v="3"/>
    <x v="3"/>
    <n v="6"/>
    <n v="809"/>
    <n v="4854"/>
    <x v="227"/>
    <x v="2"/>
    <x v="0"/>
    <x v="2"/>
  </r>
  <r>
    <s v="ORD00230"/>
    <x v="44"/>
    <s v="C0034"/>
    <x v="69"/>
    <x v="2"/>
    <x v="1"/>
    <s v="P1006"/>
    <x v="16"/>
    <x v="2"/>
    <n v="7"/>
    <n v="699"/>
    <n v="4159.05"/>
    <x v="228"/>
    <x v="4"/>
    <x v="0"/>
    <x v="2"/>
  </r>
  <r>
    <s v="ORD00231"/>
    <x v="168"/>
    <s v="C0142"/>
    <x v="10"/>
    <x v="2"/>
    <x v="1"/>
    <s v="P1020"/>
    <x v="12"/>
    <x v="3"/>
    <n v="6"/>
    <n v="549"/>
    <n v="3294"/>
    <x v="229"/>
    <x v="4"/>
    <x v="3"/>
    <x v="2"/>
  </r>
  <r>
    <s v="ORD00232"/>
    <x v="142"/>
    <s v="C0063"/>
    <x v="56"/>
    <x v="3"/>
    <x v="0"/>
    <s v="P1006"/>
    <x v="16"/>
    <x v="2"/>
    <n v="7"/>
    <n v="699"/>
    <n v="4893"/>
    <x v="230"/>
    <x v="2"/>
    <x v="0"/>
    <x v="2"/>
  </r>
  <r>
    <s v="ORD00233"/>
    <x v="122"/>
    <s v="C0112"/>
    <x v="16"/>
    <x v="5"/>
    <x v="3"/>
    <s v="P1014"/>
    <x v="8"/>
    <x v="4"/>
    <n v="5"/>
    <n v="6499"/>
    <n v="32495"/>
    <x v="231"/>
    <x v="1"/>
    <x v="0"/>
    <x v="0"/>
  </r>
  <r>
    <s v="ORD00234"/>
    <x v="165"/>
    <s v="C0158"/>
    <x v="81"/>
    <x v="16"/>
    <x v="6"/>
    <s v="P1015"/>
    <x v="4"/>
    <x v="4"/>
    <n v="2"/>
    <n v="7999"/>
    <n v="15198.1"/>
    <x v="232"/>
    <x v="4"/>
    <x v="0"/>
    <x v="0"/>
  </r>
  <r>
    <s v="ORD00235"/>
    <x v="18"/>
    <s v="C0085"/>
    <x v="83"/>
    <x v="15"/>
    <x v="9"/>
    <s v="P1011"/>
    <x v="3"/>
    <x v="3"/>
    <n v="7"/>
    <n v="989"/>
    <n v="5884.55"/>
    <x v="233"/>
    <x v="2"/>
    <x v="0"/>
    <x v="1"/>
  </r>
  <r>
    <s v="ORD00236"/>
    <x v="169"/>
    <s v="C0123"/>
    <x v="103"/>
    <x v="11"/>
    <x v="7"/>
    <s v="P1006"/>
    <x v="16"/>
    <x v="2"/>
    <n v="7"/>
    <n v="699"/>
    <n v="4648.3500000000004"/>
    <x v="234"/>
    <x v="4"/>
    <x v="1"/>
    <x v="2"/>
  </r>
  <r>
    <s v="ORD00237"/>
    <x v="170"/>
    <s v="C0097"/>
    <x v="72"/>
    <x v="5"/>
    <x v="3"/>
    <s v="P1013"/>
    <x v="19"/>
    <x v="5"/>
    <n v="6"/>
    <n v="134"/>
    <n v="683.4"/>
    <x v="235"/>
    <x v="0"/>
    <x v="0"/>
    <x v="2"/>
  </r>
  <r>
    <s v="ORD00238"/>
    <x v="171"/>
    <s v="C0119"/>
    <x v="30"/>
    <x v="16"/>
    <x v="6"/>
    <s v="P1015"/>
    <x v="4"/>
    <x v="4"/>
    <n v="5"/>
    <n v="8799"/>
    <n v="43995"/>
    <x v="236"/>
    <x v="4"/>
    <x v="0"/>
    <x v="0"/>
  </r>
  <r>
    <s v="ORD00239"/>
    <x v="167"/>
    <s v="C0078"/>
    <x v="6"/>
    <x v="12"/>
    <x v="3"/>
    <s v="P1009"/>
    <x v="5"/>
    <x v="3"/>
    <n v="3"/>
    <n v="439"/>
    <n v="1185.3"/>
    <x v="237"/>
    <x v="3"/>
    <x v="0"/>
    <x v="2"/>
  </r>
  <r>
    <s v="ORD00240"/>
    <x v="128"/>
    <s v="C0150"/>
    <x v="57"/>
    <x v="13"/>
    <x v="8"/>
    <s v="P1018"/>
    <x v="18"/>
    <x v="1"/>
    <n v="7"/>
    <n v="839"/>
    <n v="5873"/>
    <x v="238"/>
    <x v="2"/>
    <x v="0"/>
    <x v="1"/>
  </r>
  <r>
    <s v="ORD00241"/>
    <x v="165"/>
    <s v="C0164"/>
    <x v="63"/>
    <x v="2"/>
    <x v="1"/>
    <s v="P1004"/>
    <x v="11"/>
    <x v="0"/>
    <n v="4"/>
    <n v="1649"/>
    <n v="5276.8"/>
    <x v="239"/>
    <x v="0"/>
    <x v="0"/>
    <x v="1"/>
  </r>
  <r>
    <s v="ORD00242"/>
    <x v="73"/>
    <s v="C0166"/>
    <x v="4"/>
    <x v="13"/>
    <x v="8"/>
    <s v="P1011"/>
    <x v="3"/>
    <x v="3"/>
    <n v="7"/>
    <n v="809"/>
    <n v="5663"/>
    <x v="240"/>
    <x v="1"/>
    <x v="0"/>
    <x v="1"/>
  </r>
  <r>
    <s v="ORD00243"/>
    <x v="104"/>
    <s v="C0149"/>
    <x v="87"/>
    <x v="12"/>
    <x v="3"/>
    <s v="P1015"/>
    <x v="4"/>
    <x v="4"/>
    <n v="6"/>
    <n v="7999"/>
    <n v="43194.6"/>
    <x v="241"/>
    <x v="0"/>
    <x v="0"/>
    <x v="0"/>
  </r>
  <r>
    <s v="ORD00244"/>
    <x v="129"/>
    <s v="C0007"/>
    <x v="12"/>
    <x v="0"/>
    <x v="0"/>
    <s v="P1004"/>
    <x v="11"/>
    <x v="0"/>
    <n v="5"/>
    <n v="1499"/>
    <n v="7495"/>
    <x v="242"/>
    <x v="1"/>
    <x v="0"/>
    <x v="1"/>
  </r>
  <r>
    <s v="ORD00245"/>
    <x v="59"/>
    <s v="C0053"/>
    <x v="108"/>
    <x v="3"/>
    <x v="0"/>
    <s v="P1016"/>
    <x v="10"/>
    <x v="6"/>
    <n v="6"/>
    <n v="999"/>
    <n v="5994"/>
    <x v="243"/>
    <x v="4"/>
    <x v="0"/>
    <x v="1"/>
  </r>
  <r>
    <s v="ORD00246"/>
    <x v="172"/>
    <s v="C0030"/>
    <x v="109"/>
    <x v="14"/>
    <x v="1"/>
    <s v="P1011"/>
    <x v="3"/>
    <x v="3"/>
    <n v="2"/>
    <n v="989"/>
    <n v="1978"/>
    <x v="244"/>
    <x v="1"/>
    <x v="0"/>
    <x v="2"/>
  </r>
  <r>
    <s v="ORD00247"/>
    <x v="173"/>
    <s v="C0085"/>
    <x v="83"/>
    <x v="7"/>
    <x v="5"/>
    <s v="P1014"/>
    <x v="8"/>
    <x v="4"/>
    <n v="8"/>
    <n v="6499"/>
    <n v="46792.800000000003"/>
    <x v="245"/>
    <x v="1"/>
    <x v="0"/>
    <x v="0"/>
  </r>
  <r>
    <s v="ORD00248"/>
    <x v="98"/>
    <s v="C0008"/>
    <x v="15"/>
    <x v="16"/>
    <x v="6"/>
    <s v="P1015"/>
    <x v="4"/>
    <x v="4"/>
    <n v="7"/>
    <n v="7999"/>
    <n v="55993"/>
    <x v="246"/>
    <x v="1"/>
    <x v="0"/>
    <x v="0"/>
  </r>
  <r>
    <s v="ORD00249"/>
    <x v="174"/>
    <s v="C0148"/>
    <x v="62"/>
    <x v="9"/>
    <x v="1"/>
    <s v="P1018"/>
    <x v="18"/>
    <x v="1"/>
    <n v="3"/>
    <n v="799"/>
    <n v="2277.15"/>
    <x v="247"/>
    <x v="3"/>
    <x v="0"/>
    <x v="2"/>
  </r>
  <r>
    <s v="ORD00250"/>
    <x v="114"/>
    <s v="C0164"/>
    <x v="63"/>
    <x v="11"/>
    <x v="7"/>
    <s v="P1020"/>
    <x v="12"/>
    <x v="3"/>
    <n v="7"/>
    <n v="576"/>
    <n v="3628.8"/>
    <x v="248"/>
    <x v="2"/>
    <x v="0"/>
    <x v="2"/>
  </r>
  <r>
    <s v="ORD00251"/>
    <x v="175"/>
    <s v="C0045"/>
    <x v="65"/>
    <x v="4"/>
    <x v="2"/>
    <s v="P1020"/>
    <x v="12"/>
    <x v="3"/>
    <n v="2"/>
    <n v="604"/>
    <n v="1208"/>
    <x v="249"/>
    <x v="1"/>
    <x v="0"/>
    <x v="2"/>
  </r>
  <r>
    <s v="ORD00252"/>
    <x v="176"/>
    <s v="C0178"/>
    <x v="49"/>
    <x v="8"/>
    <x v="6"/>
    <s v="P1017"/>
    <x v="17"/>
    <x v="6"/>
    <n v="7"/>
    <n v="1899"/>
    <n v="11299.05"/>
    <x v="250"/>
    <x v="4"/>
    <x v="0"/>
    <x v="0"/>
  </r>
  <r>
    <s v="ORD00253"/>
    <x v="177"/>
    <s v="C0138"/>
    <x v="100"/>
    <x v="10"/>
    <x v="6"/>
    <s v="P1018"/>
    <x v="18"/>
    <x v="1"/>
    <n v="3"/>
    <n v="799"/>
    <n v="2277.15"/>
    <x v="251"/>
    <x v="2"/>
    <x v="3"/>
    <x v="2"/>
  </r>
  <r>
    <s v="ORD00254"/>
    <x v="112"/>
    <s v="C0092"/>
    <x v="82"/>
    <x v="14"/>
    <x v="1"/>
    <s v="P1016"/>
    <x v="10"/>
    <x v="6"/>
    <n v="3"/>
    <n v="999"/>
    <n v="2697.3"/>
    <x v="252"/>
    <x v="0"/>
    <x v="0"/>
    <x v="2"/>
  </r>
  <r>
    <s v="ORD00255"/>
    <x v="160"/>
    <s v="C0126"/>
    <x v="95"/>
    <x v="6"/>
    <x v="4"/>
    <s v="P1015"/>
    <x v="4"/>
    <x v="4"/>
    <n v="8"/>
    <n v="7999"/>
    <n v="63992"/>
    <x v="253"/>
    <x v="1"/>
    <x v="0"/>
    <x v="0"/>
  </r>
  <r>
    <s v="ORD00256"/>
    <x v="178"/>
    <s v="C0138"/>
    <x v="100"/>
    <x v="4"/>
    <x v="2"/>
    <s v="P1006"/>
    <x v="16"/>
    <x v="2"/>
    <n v="8"/>
    <n v="734"/>
    <n v="4697.6000000000004"/>
    <x v="254"/>
    <x v="4"/>
    <x v="0"/>
    <x v="2"/>
  </r>
  <r>
    <s v="ORD00257"/>
    <x v="148"/>
    <s v="C0030"/>
    <x v="109"/>
    <x v="5"/>
    <x v="3"/>
    <s v="P1018"/>
    <x v="18"/>
    <x v="1"/>
    <n v="6"/>
    <n v="839"/>
    <n v="5034"/>
    <x v="255"/>
    <x v="4"/>
    <x v="0"/>
    <x v="1"/>
  </r>
  <r>
    <s v="ORD00258"/>
    <x v="44"/>
    <s v="C0168"/>
    <x v="97"/>
    <x v="12"/>
    <x v="3"/>
    <s v="P1010"/>
    <x v="7"/>
    <x v="3"/>
    <n v="1"/>
    <n v="3299"/>
    <n v="3134.05"/>
    <x v="256"/>
    <x v="3"/>
    <x v="0"/>
    <x v="2"/>
  </r>
  <r>
    <s v="ORD00259"/>
    <x v="179"/>
    <s v="C0054"/>
    <x v="110"/>
    <x v="17"/>
    <x v="7"/>
    <s v="P1020"/>
    <x v="12"/>
    <x v="3"/>
    <n v="7"/>
    <n v="549"/>
    <n v="3266.55"/>
    <x v="257"/>
    <x v="1"/>
    <x v="3"/>
    <x v="2"/>
  </r>
  <r>
    <s v="ORD00260"/>
    <x v="180"/>
    <s v="C0090"/>
    <x v="75"/>
    <x v="7"/>
    <x v="5"/>
    <s v="P1009"/>
    <x v="5"/>
    <x v="3"/>
    <n v="3"/>
    <n v="399"/>
    <n v="957.6"/>
    <x v="258"/>
    <x v="0"/>
    <x v="0"/>
    <x v="2"/>
  </r>
  <r>
    <s v="ORD00261"/>
    <x v="93"/>
    <s v="C0025"/>
    <x v="111"/>
    <x v="8"/>
    <x v="6"/>
    <s v="P1014"/>
    <x v="8"/>
    <x v="4"/>
    <n v="1"/>
    <n v="6499"/>
    <n v="5199.2"/>
    <x v="259"/>
    <x v="1"/>
    <x v="0"/>
    <x v="1"/>
  </r>
  <r>
    <s v="ORD00262"/>
    <x v="83"/>
    <s v="C0064"/>
    <x v="11"/>
    <x v="13"/>
    <x v="8"/>
    <s v="P1016"/>
    <x v="10"/>
    <x v="6"/>
    <n v="3"/>
    <n v="1049"/>
    <n v="2517.6"/>
    <x v="260"/>
    <x v="4"/>
    <x v="0"/>
    <x v="2"/>
  </r>
  <r>
    <s v="ORD00263"/>
    <x v="167"/>
    <s v="C0024"/>
    <x v="8"/>
    <x v="13"/>
    <x v="8"/>
    <s v="P1017"/>
    <x v="17"/>
    <x v="6"/>
    <n v="5"/>
    <n v="2089"/>
    <n v="9922.75"/>
    <x v="261"/>
    <x v="4"/>
    <x v="0"/>
    <x v="1"/>
  </r>
  <r>
    <s v="ORD00264"/>
    <x v="181"/>
    <s v="C0118"/>
    <x v="92"/>
    <x v="17"/>
    <x v="7"/>
    <s v="P1003"/>
    <x v="15"/>
    <x v="0"/>
    <n v="7"/>
    <n v="1799"/>
    <n v="11333.7"/>
    <x v="262"/>
    <x v="4"/>
    <x v="0"/>
    <x v="0"/>
  </r>
  <r>
    <s v="ORD00265"/>
    <x v="182"/>
    <s v="C0141"/>
    <x v="8"/>
    <x v="8"/>
    <x v="6"/>
    <s v="P1019"/>
    <x v="1"/>
    <x v="1"/>
    <n v="8"/>
    <n v="1599"/>
    <n v="10233.6"/>
    <x v="263"/>
    <x v="3"/>
    <x v="0"/>
    <x v="0"/>
  </r>
  <r>
    <s v="ORD00266"/>
    <x v="117"/>
    <s v="C0032"/>
    <x v="112"/>
    <x v="10"/>
    <x v="6"/>
    <s v="P1015"/>
    <x v="4"/>
    <x v="4"/>
    <n v="8"/>
    <n v="7199"/>
    <n v="51832.800000000003"/>
    <x v="264"/>
    <x v="1"/>
    <x v="2"/>
    <x v="0"/>
  </r>
  <r>
    <s v="ORD00267"/>
    <x v="173"/>
    <s v="C0071"/>
    <x v="38"/>
    <x v="2"/>
    <x v="1"/>
    <s v="P1012"/>
    <x v="9"/>
    <x v="5"/>
    <n v="5"/>
    <n v="224"/>
    <n v="1064"/>
    <x v="265"/>
    <x v="1"/>
    <x v="0"/>
    <x v="2"/>
  </r>
  <r>
    <s v="ORD00268"/>
    <x v="42"/>
    <s v="C0180"/>
    <x v="58"/>
    <x v="12"/>
    <x v="3"/>
    <s v="P1014"/>
    <x v="8"/>
    <x v="4"/>
    <n v="2"/>
    <n v="7149"/>
    <n v="14298"/>
    <x v="266"/>
    <x v="4"/>
    <x v="0"/>
    <x v="0"/>
  </r>
  <r>
    <s v="ORD00269"/>
    <x v="178"/>
    <s v="C0133"/>
    <x v="113"/>
    <x v="15"/>
    <x v="9"/>
    <s v="P1001"/>
    <x v="6"/>
    <x v="0"/>
    <n v="1"/>
    <n v="659"/>
    <n v="626.04999999999995"/>
    <x v="267"/>
    <x v="4"/>
    <x v="0"/>
    <x v="2"/>
  </r>
  <r>
    <s v="ORD00270"/>
    <x v="183"/>
    <s v="C0059"/>
    <x v="48"/>
    <x v="13"/>
    <x v="8"/>
    <s v="P1003"/>
    <x v="15"/>
    <x v="0"/>
    <n v="2"/>
    <n v="1619"/>
    <n v="3076.1"/>
    <x v="268"/>
    <x v="2"/>
    <x v="0"/>
    <x v="2"/>
  </r>
  <r>
    <s v="ORD00271"/>
    <x v="78"/>
    <s v="C0174"/>
    <x v="19"/>
    <x v="8"/>
    <x v="6"/>
    <s v="P1003"/>
    <x v="15"/>
    <x v="0"/>
    <n v="1"/>
    <n v="1889"/>
    <n v="1511.2"/>
    <x v="269"/>
    <x v="2"/>
    <x v="0"/>
    <x v="2"/>
  </r>
  <r>
    <s v="ORD00272"/>
    <x v="184"/>
    <s v="C0106"/>
    <x v="114"/>
    <x v="15"/>
    <x v="9"/>
    <s v="P1007"/>
    <x v="13"/>
    <x v="2"/>
    <n v="2"/>
    <n v="2069"/>
    <n v="4138"/>
    <x v="270"/>
    <x v="0"/>
    <x v="0"/>
    <x v="2"/>
  </r>
  <r>
    <s v="ORD00273"/>
    <x v="185"/>
    <s v="C0081"/>
    <x v="67"/>
    <x v="8"/>
    <x v="6"/>
    <s v="P1008"/>
    <x v="2"/>
    <x v="2"/>
    <n v="5"/>
    <n v="1429"/>
    <n v="7145"/>
    <x v="271"/>
    <x v="0"/>
    <x v="0"/>
    <x v="1"/>
  </r>
  <r>
    <s v="ORD00274"/>
    <x v="145"/>
    <s v="C0177"/>
    <x v="46"/>
    <x v="14"/>
    <x v="1"/>
    <s v="P1010"/>
    <x v="7"/>
    <x v="3"/>
    <n v="4"/>
    <n v="3464"/>
    <n v="11777.6"/>
    <x v="272"/>
    <x v="4"/>
    <x v="0"/>
    <x v="0"/>
  </r>
  <r>
    <s v="ORD00275"/>
    <x v="186"/>
    <s v="C0127"/>
    <x v="22"/>
    <x v="13"/>
    <x v="8"/>
    <s v="P1004"/>
    <x v="11"/>
    <x v="0"/>
    <n v="4"/>
    <n v="1499"/>
    <n v="4796.8"/>
    <x v="273"/>
    <x v="0"/>
    <x v="2"/>
    <x v="2"/>
  </r>
  <r>
    <s v="ORD00276"/>
    <x v="127"/>
    <s v="C0082"/>
    <x v="115"/>
    <x v="8"/>
    <x v="6"/>
    <s v="P1013"/>
    <x v="19"/>
    <x v="5"/>
    <n v="7"/>
    <n v="149"/>
    <n v="886.55"/>
    <x v="274"/>
    <x v="4"/>
    <x v="1"/>
    <x v="2"/>
  </r>
  <r>
    <s v="ORD00277"/>
    <x v="117"/>
    <s v="C0151"/>
    <x v="64"/>
    <x v="2"/>
    <x v="1"/>
    <s v="P1001"/>
    <x v="6"/>
    <x v="0"/>
    <n v="5"/>
    <n v="599"/>
    <n v="2995"/>
    <x v="275"/>
    <x v="4"/>
    <x v="0"/>
    <x v="2"/>
  </r>
  <r>
    <s v="ORD00278"/>
    <x v="187"/>
    <s v="C0129"/>
    <x v="107"/>
    <x v="6"/>
    <x v="4"/>
    <s v="P1014"/>
    <x v="8"/>
    <x v="4"/>
    <n v="7"/>
    <n v="5849"/>
    <n v="32754.400000000001"/>
    <x v="276"/>
    <x v="0"/>
    <x v="0"/>
    <x v="0"/>
  </r>
  <r>
    <s v="ORD00279"/>
    <x v="106"/>
    <s v="C0021"/>
    <x v="116"/>
    <x v="3"/>
    <x v="0"/>
    <s v="P1007"/>
    <x v="13"/>
    <x v="2"/>
    <n v="3"/>
    <n v="2414"/>
    <n v="6879.9"/>
    <x v="277"/>
    <x v="3"/>
    <x v="0"/>
    <x v="1"/>
  </r>
  <r>
    <s v="ORD00280"/>
    <x v="186"/>
    <s v="C0015"/>
    <x v="1"/>
    <x v="12"/>
    <x v="3"/>
    <s v="P1003"/>
    <x v="15"/>
    <x v="0"/>
    <n v="7"/>
    <n v="1619"/>
    <n v="10199.700000000001"/>
    <x v="278"/>
    <x v="3"/>
    <x v="0"/>
    <x v="0"/>
  </r>
  <r>
    <s v="ORD00281"/>
    <x v="164"/>
    <s v="C0045"/>
    <x v="65"/>
    <x v="9"/>
    <x v="1"/>
    <s v="P1001"/>
    <x v="6"/>
    <x v="0"/>
    <n v="3"/>
    <n v="659"/>
    <n v="1977"/>
    <x v="279"/>
    <x v="2"/>
    <x v="0"/>
    <x v="2"/>
  </r>
  <r>
    <s v="ORD00282"/>
    <x v="188"/>
    <s v="C0043"/>
    <x v="29"/>
    <x v="17"/>
    <x v="7"/>
    <s v="P1005"/>
    <x v="0"/>
    <x v="0"/>
    <n v="5"/>
    <n v="4399"/>
    <n v="21995"/>
    <x v="280"/>
    <x v="3"/>
    <x v="0"/>
    <x v="0"/>
  </r>
  <r>
    <s v="ORD00283"/>
    <x v="111"/>
    <s v="C0135"/>
    <x v="53"/>
    <x v="2"/>
    <x v="1"/>
    <s v="P1009"/>
    <x v="5"/>
    <x v="3"/>
    <n v="2"/>
    <n v="399"/>
    <n v="718.2"/>
    <x v="281"/>
    <x v="3"/>
    <x v="0"/>
    <x v="2"/>
  </r>
  <r>
    <s v="ORD00284"/>
    <x v="122"/>
    <s v="C0095"/>
    <x v="105"/>
    <x v="10"/>
    <x v="6"/>
    <s v="P1009"/>
    <x v="5"/>
    <x v="3"/>
    <n v="2"/>
    <n v="419"/>
    <n v="670.4"/>
    <x v="282"/>
    <x v="1"/>
    <x v="0"/>
    <x v="2"/>
  </r>
  <r>
    <s v="ORD00285"/>
    <x v="172"/>
    <s v="C0004"/>
    <x v="42"/>
    <x v="12"/>
    <x v="3"/>
    <s v="P1002"/>
    <x v="14"/>
    <x v="0"/>
    <n v="8"/>
    <n v="2499"/>
    <n v="17992.8"/>
    <x v="283"/>
    <x v="1"/>
    <x v="2"/>
    <x v="0"/>
  </r>
  <r>
    <s v="ORD00286"/>
    <x v="7"/>
    <s v="C0168"/>
    <x v="97"/>
    <x v="6"/>
    <x v="4"/>
    <s v="P1008"/>
    <x v="2"/>
    <x v="2"/>
    <n v="6"/>
    <n v="1299"/>
    <n v="7014.6"/>
    <x v="284"/>
    <x v="2"/>
    <x v="0"/>
    <x v="1"/>
  </r>
  <r>
    <s v="ORD00287"/>
    <x v="189"/>
    <s v="C0096"/>
    <x v="78"/>
    <x v="9"/>
    <x v="1"/>
    <s v="P1017"/>
    <x v="17"/>
    <x v="6"/>
    <n v="1"/>
    <n v="1899"/>
    <n v="1899"/>
    <x v="285"/>
    <x v="3"/>
    <x v="1"/>
    <x v="2"/>
  </r>
  <r>
    <s v="ORD00288"/>
    <x v="190"/>
    <s v="C0073"/>
    <x v="117"/>
    <x v="4"/>
    <x v="2"/>
    <s v="P1011"/>
    <x v="3"/>
    <x v="3"/>
    <n v="2"/>
    <n v="944"/>
    <n v="1699.2"/>
    <x v="286"/>
    <x v="1"/>
    <x v="0"/>
    <x v="2"/>
  </r>
  <r>
    <s v="ORD00289"/>
    <x v="191"/>
    <s v="C0063"/>
    <x v="56"/>
    <x v="15"/>
    <x v="9"/>
    <s v="P1012"/>
    <x v="9"/>
    <x v="5"/>
    <n v="8"/>
    <n v="249"/>
    <n v="1593.6"/>
    <x v="287"/>
    <x v="1"/>
    <x v="0"/>
    <x v="2"/>
  </r>
  <r>
    <s v="ORD00290"/>
    <x v="21"/>
    <s v="C0060"/>
    <x v="79"/>
    <x v="7"/>
    <x v="5"/>
    <s v="P1012"/>
    <x v="9"/>
    <x v="5"/>
    <n v="1"/>
    <n v="249"/>
    <n v="249"/>
    <x v="288"/>
    <x v="4"/>
    <x v="3"/>
    <x v="2"/>
  </r>
  <r>
    <s v="ORD00291"/>
    <x v="192"/>
    <s v="C0027"/>
    <x v="35"/>
    <x v="16"/>
    <x v="6"/>
    <s v="P1017"/>
    <x v="17"/>
    <x v="6"/>
    <n v="4"/>
    <n v="1899"/>
    <n v="6836.4"/>
    <x v="289"/>
    <x v="1"/>
    <x v="0"/>
    <x v="1"/>
  </r>
  <r>
    <s v="ORD00292"/>
    <x v="172"/>
    <s v="C0060"/>
    <x v="79"/>
    <x v="3"/>
    <x v="0"/>
    <s v="P1014"/>
    <x v="8"/>
    <x v="4"/>
    <n v="6"/>
    <n v="6499"/>
    <n v="31195.200000000001"/>
    <x v="290"/>
    <x v="3"/>
    <x v="0"/>
    <x v="0"/>
  </r>
  <r>
    <s v="ORD00293"/>
    <x v="193"/>
    <s v="C0020"/>
    <x v="118"/>
    <x v="1"/>
    <x v="1"/>
    <s v="P1014"/>
    <x v="8"/>
    <x v="4"/>
    <n v="3"/>
    <n v="6499"/>
    <n v="18522.150000000001"/>
    <x v="291"/>
    <x v="2"/>
    <x v="2"/>
    <x v="0"/>
  </r>
  <r>
    <s v="ORD00294"/>
    <x v="151"/>
    <s v="C0084"/>
    <x v="60"/>
    <x v="11"/>
    <x v="7"/>
    <s v="P1015"/>
    <x v="4"/>
    <x v="4"/>
    <n v="5"/>
    <n v="7999"/>
    <n v="39995"/>
    <x v="292"/>
    <x v="1"/>
    <x v="3"/>
    <x v="0"/>
  </r>
  <r>
    <s v="ORD00295"/>
    <x v="13"/>
    <s v="C0040"/>
    <x v="7"/>
    <x v="9"/>
    <x v="1"/>
    <s v="P1006"/>
    <x v="16"/>
    <x v="2"/>
    <n v="8"/>
    <n v="699"/>
    <n v="5312.4"/>
    <x v="293"/>
    <x v="0"/>
    <x v="0"/>
    <x v="1"/>
  </r>
  <r>
    <s v="ORD00296"/>
    <x v="194"/>
    <s v="C0079"/>
    <x v="101"/>
    <x v="15"/>
    <x v="9"/>
    <s v="P1009"/>
    <x v="5"/>
    <x v="3"/>
    <n v="2"/>
    <n v="359"/>
    <n v="718"/>
    <x v="294"/>
    <x v="2"/>
    <x v="3"/>
    <x v="2"/>
  </r>
  <r>
    <s v="ORD00297"/>
    <x v="195"/>
    <s v="C0011"/>
    <x v="32"/>
    <x v="16"/>
    <x v="6"/>
    <s v="P1011"/>
    <x v="3"/>
    <x v="3"/>
    <n v="3"/>
    <n v="809"/>
    <n v="1941.6"/>
    <x v="295"/>
    <x v="2"/>
    <x v="0"/>
    <x v="2"/>
  </r>
  <r>
    <s v="ORD00298"/>
    <x v="73"/>
    <s v="C0077"/>
    <x v="119"/>
    <x v="5"/>
    <x v="3"/>
    <s v="P1006"/>
    <x v="16"/>
    <x v="2"/>
    <n v="1"/>
    <n v="699"/>
    <n v="629.1"/>
    <x v="296"/>
    <x v="0"/>
    <x v="0"/>
    <x v="2"/>
  </r>
  <r>
    <s v="ORD00299"/>
    <x v="44"/>
    <s v="C0036"/>
    <x v="95"/>
    <x v="9"/>
    <x v="1"/>
    <s v="P1001"/>
    <x v="6"/>
    <x v="0"/>
    <n v="1"/>
    <n v="599"/>
    <n v="599"/>
    <x v="297"/>
    <x v="4"/>
    <x v="0"/>
    <x v="2"/>
  </r>
  <r>
    <s v="ORD00300"/>
    <x v="152"/>
    <s v="C0022"/>
    <x v="44"/>
    <x v="5"/>
    <x v="3"/>
    <s v="P1003"/>
    <x v="15"/>
    <x v="0"/>
    <n v="1"/>
    <n v="1619"/>
    <n v="1619"/>
    <x v="298"/>
    <x v="4"/>
    <x v="3"/>
    <x v="2"/>
  </r>
  <r>
    <s v="ORD00301"/>
    <x v="15"/>
    <s v="C0032"/>
    <x v="112"/>
    <x v="1"/>
    <x v="1"/>
    <s v="P1015"/>
    <x v="4"/>
    <x v="4"/>
    <n v="1"/>
    <n v="7999"/>
    <n v="6799.15"/>
    <x v="299"/>
    <x v="4"/>
    <x v="0"/>
    <x v="1"/>
  </r>
  <r>
    <s v="ORD00302"/>
    <x v="11"/>
    <s v="C0110"/>
    <x v="9"/>
    <x v="10"/>
    <x v="6"/>
    <s v="P1012"/>
    <x v="9"/>
    <x v="5"/>
    <n v="4"/>
    <n v="249"/>
    <n v="946.2"/>
    <x v="300"/>
    <x v="1"/>
    <x v="0"/>
    <x v="2"/>
  </r>
  <r>
    <s v="ORD00303"/>
    <x v="196"/>
    <s v="C0063"/>
    <x v="56"/>
    <x v="4"/>
    <x v="2"/>
    <s v="P1016"/>
    <x v="10"/>
    <x v="6"/>
    <n v="7"/>
    <n v="1049"/>
    <n v="6608.7"/>
    <x v="301"/>
    <x v="2"/>
    <x v="0"/>
    <x v="1"/>
  </r>
  <r>
    <s v="ORD00304"/>
    <x v="169"/>
    <s v="C0165"/>
    <x v="120"/>
    <x v="3"/>
    <x v="0"/>
    <s v="P1008"/>
    <x v="2"/>
    <x v="2"/>
    <n v="1"/>
    <n v="1299"/>
    <n v="1039.2"/>
    <x v="302"/>
    <x v="0"/>
    <x v="3"/>
    <x v="2"/>
  </r>
  <r>
    <s v="ORD00305"/>
    <x v="197"/>
    <s v="C0129"/>
    <x v="107"/>
    <x v="11"/>
    <x v="7"/>
    <s v="P1013"/>
    <x v="19"/>
    <x v="5"/>
    <n v="5"/>
    <n v="149"/>
    <n v="745"/>
    <x v="303"/>
    <x v="1"/>
    <x v="0"/>
    <x v="2"/>
  </r>
  <r>
    <s v="ORD00306"/>
    <x v="198"/>
    <s v="C0121"/>
    <x v="121"/>
    <x v="3"/>
    <x v="0"/>
    <s v="P1012"/>
    <x v="9"/>
    <x v="5"/>
    <n v="4"/>
    <n v="249"/>
    <n v="996"/>
    <x v="304"/>
    <x v="1"/>
    <x v="0"/>
    <x v="2"/>
  </r>
  <r>
    <s v="ORD00307"/>
    <x v="199"/>
    <s v="C0057"/>
    <x v="122"/>
    <x v="13"/>
    <x v="8"/>
    <s v="P1012"/>
    <x v="9"/>
    <x v="5"/>
    <n v="3"/>
    <n v="249"/>
    <n v="747"/>
    <x v="305"/>
    <x v="2"/>
    <x v="2"/>
    <x v="2"/>
  </r>
  <r>
    <s v="ORD00308"/>
    <x v="200"/>
    <s v="C0180"/>
    <x v="58"/>
    <x v="17"/>
    <x v="7"/>
    <s v="P1019"/>
    <x v="1"/>
    <x v="1"/>
    <n v="3"/>
    <n v="1679"/>
    <n v="5037"/>
    <x v="306"/>
    <x v="4"/>
    <x v="0"/>
    <x v="1"/>
  </r>
  <r>
    <s v="ORD00309"/>
    <x v="201"/>
    <s v="C0010"/>
    <x v="55"/>
    <x v="2"/>
    <x v="1"/>
    <s v="P1002"/>
    <x v="14"/>
    <x v="0"/>
    <n v="4"/>
    <n v="2624"/>
    <n v="10496"/>
    <x v="307"/>
    <x v="4"/>
    <x v="0"/>
    <x v="0"/>
  </r>
  <r>
    <s v="ORD00310"/>
    <x v="202"/>
    <s v="C0034"/>
    <x v="69"/>
    <x v="11"/>
    <x v="7"/>
    <s v="P1006"/>
    <x v="16"/>
    <x v="2"/>
    <n v="6"/>
    <n v="629"/>
    <n v="3774"/>
    <x v="308"/>
    <x v="1"/>
    <x v="3"/>
    <x v="2"/>
  </r>
  <r>
    <s v="ORD00311"/>
    <x v="103"/>
    <s v="C0019"/>
    <x v="76"/>
    <x v="17"/>
    <x v="7"/>
    <s v="P1013"/>
    <x v="19"/>
    <x v="5"/>
    <n v="2"/>
    <n v="149"/>
    <n v="283.10000000000002"/>
    <x v="309"/>
    <x v="1"/>
    <x v="0"/>
    <x v="2"/>
  </r>
  <r>
    <s v="ORD00312"/>
    <x v="203"/>
    <s v="C0125"/>
    <x v="123"/>
    <x v="11"/>
    <x v="7"/>
    <s v="P1006"/>
    <x v="16"/>
    <x v="2"/>
    <n v="6"/>
    <n v="699"/>
    <n v="3355.2"/>
    <x v="310"/>
    <x v="1"/>
    <x v="0"/>
    <x v="2"/>
  </r>
  <r>
    <s v="ORD00313"/>
    <x v="204"/>
    <s v="C0076"/>
    <x v="84"/>
    <x v="8"/>
    <x v="6"/>
    <s v="P1006"/>
    <x v="16"/>
    <x v="2"/>
    <n v="1"/>
    <n v="769"/>
    <n v="653.65"/>
    <x v="311"/>
    <x v="0"/>
    <x v="0"/>
    <x v="2"/>
  </r>
  <r>
    <s v="ORD00314"/>
    <x v="205"/>
    <s v="C0157"/>
    <x v="90"/>
    <x v="12"/>
    <x v="3"/>
    <s v="P1019"/>
    <x v="1"/>
    <x v="1"/>
    <n v="2"/>
    <n v="1599"/>
    <n v="3198"/>
    <x v="312"/>
    <x v="3"/>
    <x v="0"/>
    <x v="2"/>
  </r>
  <r>
    <s v="ORD00315"/>
    <x v="122"/>
    <s v="C0163"/>
    <x v="124"/>
    <x v="2"/>
    <x v="1"/>
    <s v="P1011"/>
    <x v="3"/>
    <x v="3"/>
    <n v="8"/>
    <n v="809"/>
    <n v="6148.4"/>
    <x v="313"/>
    <x v="3"/>
    <x v="0"/>
    <x v="1"/>
  </r>
  <r>
    <s v="ORD00316"/>
    <x v="206"/>
    <s v="C0013"/>
    <x v="33"/>
    <x v="13"/>
    <x v="8"/>
    <s v="P1015"/>
    <x v="4"/>
    <x v="4"/>
    <n v="7"/>
    <n v="7999"/>
    <n v="50393.7"/>
    <x v="314"/>
    <x v="4"/>
    <x v="0"/>
    <x v="0"/>
  </r>
  <r>
    <s v="ORD00317"/>
    <x v="64"/>
    <s v="C0123"/>
    <x v="103"/>
    <x v="12"/>
    <x v="3"/>
    <s v="P1006"/>
    <x v="16"/>
    <x v="2"/>
    <n v="8"/>
    <n v="629"/>
    <n v="5032"/>
    <x v="315"/>
    <x v="2"/>
    <x v="0"/>
    <x v="1"/>
  </r>
  <r>
    <s v="ORD00318"/>
    <x v="126"/>
    <s v="C0088"/>
    <x v="51"/>
    <x v="10"/>
    <x v="6"/>
    <s v="P1013"/>
    <x v="19"/>
    <x v="5"/>
    <n v="3"/>
    <n v="164"/>
    <n v="492"/>
    <x v="316"/>
    <x v="3"/>
    <x v="0"/>
    <x v="2"/>
  </r>
  <r>
    <s v="ORD00319"/>
    <x v="43"/>
    <s v="C0008"/>
    <x v="15"/>
    <x v="6"/>
    <x v="4"/>
    <s v="P1006"/>
    <x v="16"/>
    <x v="2"/>
    <n v="7"/>
    <n v="699"/>
    <n v="4893"/>
    <x v="317"/>
    <x v="1"/>
    <x v="1"/>
    <x v="2"/>
  </r>
  <r>
    <s v="ORD00320"/>
    <x v="76"/>
    <s v="C0142"/>
    <x v="10"/>
    <x v="7"/>
    <x v="5"/>
    <s v="P1009"/>
    <x v="5"/>
    <x v="3"/>
    <n v="5"/>
    <n v="399"/>
    <n v="1995"/>
    <x v="318"/>
    <x v="4"/>
    <x v="0"/>
    <x v="2"/>
  </r>
  <r>
    <s v="ORD00321"/>
    <x v="130"/>
    <s v="C0014"/>
    <x v="104"/>
    <x v="17"/>
    <x v="7"/>
    <s v="P1001"/>
    <x v="6"/>
    <x v="0"/>
    <n v="7"/>
    <n v="539"/>
    <n v="3584.35"/>
    <x v="319"/>
    <x v="0"/>
    <x v="0"/>
    <x v="2"/>
  </r>
  <r>
    <s v="ORD00322"/>
    <x v="171"/>
    <s v="C0053"/>
    <x v="108"/>
    <x v="10"/>
    <x v="6"/>
    <s v="P1010"/>
    <x v="7"/>
    <x v="3"/>
    <n v="2"/>
    <n v="3299"/>
    <n v="6598"/>
    <x v="320"/>
    <x v="4"/>
    <x v="0"/>
    <x v="1"/>
  </r>
  <r>
    <s v="ORD00323"/>
    <x v="49"/>
    <s v="C0024"/>
    <x v="8"/>
    <x v="7"/>
    <x v="5"/>
    <s v="P1013"/>
    <x v="19"/>
    <x v="5"/>
    <n v="3"/>
    <n v="149"/>
    <n v="402.3"/>
    <x v="321"/>
    <x v="4"/>
    <x v="0"/>
    <x v="2"/>
  </r>
  <r>
    <s v="ORD00324"/>
    <x v="190"/>
    <s v="C0068"/>
    <x v="66"/>
    <x v="12"/>
    <x v="3"/>
    <s v="P1009"/>
    <x v="5"/>
    <x v="3"/>
    <n v="1"/>
    <n v="399"/>
    <n v="319.2"/>
    <x v="322"/>
    <x v="3"/>
    <x v="0"/>
    <x v="2"/>
  </r>
  <r>
    <s v="ORD00325"/>
    <x v="12"/>
    <s v="C0151"/>
    <x v="64"/>
    <x v="12"/>
    <x v="3"/>
    <s v="P1018"/>
    <x v="18"/>
    <x v="1"/>
    <n v="1"/>
    <n v="799"/>
    <n v="679.15"/>
    <x v="323"/>
    <x v="0"/>
    <x v="0"/>
    <x v="2"/>
  </r>
  <r>
    <s v="ORD00326"/>
    <x v="148"/>
    <s v="C0061"/>
    <x v="125"/>
    <x v="0"/>
    <x v="0"/>
    <s v="P1010"/>
    <x v="7"/>
    <x v="3"/>
    <n v="2"/>
    <n v="3299"/>
    <n v="5278.4"/>
    <x v="324"/>
    <x v="0"/>
    <x v="2"/>
    <x v="1"/>
  </r>
  <r>
    <s v="ORD00327"/>
    <x v="73"/>
    <s v="C0159"/>
    <x v="73"/>
    <x v="8"/>
    <x v="6"/>
    <s v="P1004"/>
    <x v="11"/>
    <x v="0"/>
    <n v="8"/>
    <n v="1499"/>
    <n v="11992"/>
    <x v="325"/>
    <x v="1"/>
    <x v="0"/>
    <x v="0"/>
  </r>
  <r>
    <s v="ORD00328"/>
    <x v="143"/>
    <s v="C0175"/>
    <x v="59"/>
    <x v="6"/>
    <x v="4"/>
    <s v="P1007"/>
    <x v="13"/>
    <x v="2"/>
    <n v="3"/>
    <n v="2414"/>
    <n v="6879.9"/>
    <x v="326"/>
    <x v="3"/>
    <x v="0"/>
    <x v="1"/>
  </r>
  <r>
    <s v="ORD00329"/>
    <x v="124"/>
    <s v="C0142"/>
    <x v="10"/>
    <x v="11"/>
    <x v="7"/>
    <s v="P1009"/>
    <x v="5"/>
    <x v="3"/>
    <n v="8"/>
    <n v="359"/>
    <n v="2297.6"/>
    <x v="327"/>
    <x v="0"/>
    <x v="3"/>
    <x v="2"/>
  </r>
  <r>
    <s v="ORD00330"/>
    <x v="60"/>
    <s v="C0039"/>
    <x v="52"/>
    <x v="8"/>
    <x v="6"/>
    <s v="P1019"/>
    <x v="1"/>
    <x v="1"/>
    <n v="2"/>
    <n v="1439"/>
    <n v="2446.3000000000002"/>
    <x v="328"/>
    <x v="2"/>
    <x v="2"/>
    <x v="2"/>
  </r>
  <r>
    <s v="ORD00331"/>
    <x v="54"/>
    <s v="C0068"/>
    <x v="66"/>
    <x v="13"/>
    <x v="8"/>
    <s v="P1016"/>
    <x v="10"/>
    <x v="6"/>
    <n v="8"/>
    <n v="899"/>
    <n v="7192"/>
    <x v="329"/>
    <x v="1"/>
    <x v="0"/>
    <x v="1"/>
  </r>
  <r>
    <s v="ORD00332"/>
    <x v="207"/>
    <s v="C0103"/>
    <x v="14"/>
    <x v="1"/>
    <x v="1"/>
    <s v="P1013"/>
    <x v="19"/>
    <x v="5"/>
    <n v="6"/>
    <n v="164"/>
    <n v="984"/>
    <x v="330"/>
    <x v="4"/>
    <x v="2"/>
    <x v="2"/>
  </r>
  <r>
    <s v="ORD00333"/>
    <x v="208"/>
    <s v="C0087"/>
    <x v="37"/>
    <x v="4"/>
    <x v="2"/>
    <s v="P1010"/>
    <x v="7"/>
    <x v="3"/>
    <n v="5"/>
    <n v="3299"/>
    <n v="13196"/>
    <x v="331"/>
    <x v="1"/>
    <x v="0"/>
    <x v="0"/>
  </r>
  <r>
    <s v="ORD00334"/>
    <x v="209"/>
    <s v="C0083"/>
    <x v="126"/>
    <x v="5"/>
    <x v="3"/>
    <s v="P1014"/>
    <x v="8"/>
    <x v="4"/>
    <n v="2"/>
    <n v="6499"/>
    <n v="11698.2"/>
    <x v="332"/>
    <x v="4"/>
    <x v="0"/>
    <x v="0"/>
  </r>
  <r>
    <s v="ORD00335"/>
    <x v="176"/>
    <s v="C0015"/>
    <x v="1"/>
    <x v="3"/>
    <x v="0"/>
    <s v="P1006"/>
    <x v="16"/>
    <x v="2"/>
    <n v="2"/>
    <n v="699"/>
    <n v="1118.4000000000001"/>
    <x v="333"/>
    <x v="1"/>
    <x v="3"/>
    <x v="2"/>
  </r>
  <r>
    <s v="ORD00336"/>
    <x v="180"/>
    <s v="C0008"/>
    <x v="15"/>
    <x v="10"/>
    <x v="6"/>
    <s v="P1007"/>
    <x v="13"/>
    <x v="2"/>
    <n v="4"/>
    <n v="2069"/>
    <n v="8276"/>
    <x v="334"/>
    <x v="3"/>
    <x v="2"/>
    <x v="1"/>
  </r>
  <r>
    <s v="ORD00337"/>
    <x v="210"/>
    <s v="C0071"/>
    <x v="38"/>
    <x v="17"/>
    <x v="7"/>
    <s v="P1015"/>
    <x v="4"/>
    <x v="4"/>
    <n v="7"/>
    <n v="8799"/>
    <n v="61593"/>
    <x v="335"/>
    <x v="1"/>
    <x v="0"/>
    <x v="0"/>
  </r>
  <r>
    <s v="ORD00338"/>
    <x v="25"/>
    <s v="C0046"/>
    <x v="40"/>
    <x v="0"/>
    <x v="0"/>
    <s v="P1019"/>
    <x v="1"/>
    <x v="1"/>
    <n v="6"/>
    <n v="1599"/>
    <n v="9594"/>
    <x v="336"/>
    <x v="2"/>
    <x v="0"/>
    <x v="1"/>
  </r>
  <r>
    <s v="ORD00339"/>
    <x v="52"/>
    <s v="C0073"/>
    <x v="117"/>
    <x v="14"/>
    <x v="1"/>
    <s v="P1013"/>
    <x v="19"/>
    <x v="5"/>
    <n v="1"/>
    <n v="149"/>
    <n v="126.65"/>
    <x v="337"/>
    <x v="1"/>
    <x v="3"/>
    <x v="2"/>
  </r>
  <r>
    <s v="ORD00340"/>
    <x v="178"/>
    <s v="C0174"/>
    <x v="19"/>
    <x v="16"/>
    <x v="6"/>
    <s v="P1009"/>
    <x v="5"/>
    <x v="3"/>
    <n v="7"/>
    <n v="419"/>
    <n v="2933"/>
    <x v="338"/>
    <x v="3"/>
    <x v="0"/>
    <x v="2"/>
  </r>
  <r>
    <s v="ORD00341"/>
    <x v="211"/>
    <s v="C0045"/>
    <x v="65"/>
    <x v="14"/>
    <x v="1"/>
    <s v="P1008"/>
    <x v="2"/>
    <x v="2"/>
    <n v="5"/>
    <n v="1364"/>
    <n v="6479"/>
    <x v="339"/>
    <x v="2"/>
    <x v="0"/>
    <x v="1"/>
  </r>
  <r>
    <s v="ORD00342"/>
    <x v="99"/>
    <s v="C0118"/>
    <x v="92"/>
    <x v="5"/>
    <x v="3"/>
    <s v="P1007"/>
    <x v="13"/>
    <x v="2"/>
    <n v="8"/>
    <n v="2299"/>
    <n v="14713.6"/>
    <x v="340"/>
    <x v="0"/>
    <x v="0"/>
    <x v="0"/>
  </r>
  <r>
    <s v="ORD00343"/>
    <x v="90"/>
    <s v="C0131"/>
    <x v="54"/>
    <x v="17"/>
    <x v="7"/>
    <s v="P1018"/>
    <x v="18"/>
    <x v="1"/>
    <n v="5"/>
    <n v="799"/>
    <n v="3196"/>
    <x v="341"/>
    <x v="3"/>
    <x v="0"/>
    <x v="2"/>
  </r>
  <r>
    <s v="ORD00344"/>
    <x v="203"/>
    <s v="C0084"/>
    <x v="60"/>
    <x v="5"/>
    <x v="3"/>
    <s v="P1009"/>
    <x v="5"/>
    <x v="3"/>
    <n v="5"/>
    <n v="399"/>
    <n v="1995"/>
    <x v="342"/>
    <x v="1"/>
    <x v="2"/>
    <x v="2"/>
  </r>
  <r>
    <s v="ORD00345"/>
    <x v="55"/>
    <s v="C0170"/>
    <x v="0"/>
    <x v="11"/>
    <x v="7"/>
    <s v="P1005"/>
    <x v="0"/>
    <x v="0"/>
    <n v="1"/>
    <n v="4399"/>
    <n v="3959.1"/>
    <x v="343"/>
    <x v="2"/>
    <x v="2"/>
    <x v="2"/>
  </r>
  <r>
    <s v="ORD00346"/>
    <x v="157"/>
    <s v="C0010"/>
    <x v="55"/>
    <x v="16"/>
    <x v="6"/>
    <s v="P1011"/>
    <x v="3"/>
    <x v="3"/>
    <n v="4"/>
    <n v="989"/>
    <n v="3362.6"/>
    <x v="344"/>
    <x v="4"/>
    <x v="2"/>
    <x v="2"/>
  </r>
  <r>
    <s v="ORD00347"/>
    <x v="159"/>
    <s v="C0130"/>
    <x v="18"/>
    <x v="4"/>
    <x v="2"/>
    <s v="P1006"/>
    <x v="16"/>
    <x v="2"/>
    <n v="3"/>
    <n v="699"/>
    <n v="2097"/>
    <x v="345"/>
    <x v="2"/>
    <x v="0"/>
    <x v="2"/>
  </r>
  <r>
    <s v="ORD00348"/>
    <x v="212"/>
    <s v="C0175"/>
    <x v="59"/>
    <x v="11"/>
    <x v="7"/>
    <s v="P1003"/>
    <x v="15"/>
    <x v="0"/>
    <n v="4"/>
    <n v="1799"/>
    <n v="7196"/>
    <x v="346"/>
    <x v="2"/>
    <x v="0"/>
    <x v="1"/>
  </r>
  <r>
    <s v="ORD00349"/>
    <x v="87"/>
    <s v="C0067"/>
    <x v="127"/>
    <x v="4"/>
    <x v="2"/>
    <s v="P1015"/>
    <x v="4"/>
    <x v="4"/>
    <n v="2"/>
    <n v="7999"/>
    <n v="15998"/>
    <x v="347"/>
    <x v="0"/>
    <x v="0"/>
    <x v="0"/>
  </r>
  <r>
    <s v="ORD00350"/>
    <x v="183"/>
    <s v="C0121"/>
    <x v="121"/>
    <x v="16"/>
    <x v="6"/>
    <s v="P1017"/>
    <x v="17"/>
    <x v="6"/>
    <n v="2"/>
    <n v="2089"/>
    <n v="3760.2"/>
    <x v="348"/>
    <x v="4"/>
    <x v="0"/>
    <x v="2"/>
  </r>
  <r>
    <s v="ORD00351"/>
    <x v="213"/>
    <s v="C0052"/>
    <x v="42"/>
    <x v="11"/>
    <x v="7"/>
    <s v="P1014"/>
    <x v="8"/>
    <x v="4"/>
    <n v="8"/>
    <n v="6499"/>
    <n v="49392.4"/>
    <x v="349"/>
    <x v="1"/>
    <x v="3"/>
    <x v="0"/>
  </r>
  <r>
    <s v="ORD00352"/>
    <x v="214"/>
    <s v="C0162"/>
    <x v="128"/>
    <x v="10"/>
    <x v="6"/>
    <s v="P1011"/>
    <x v="3"/>
    <x v="3"/>
    <n v="1"/>
    <n v="809"/>
    <n v="728.1"/>
    <x v="350"/>
    <x v="1"/>
    <x v="0"/>
    <x v="2"/>
  </r>
  <r>
    <s v="ORD00353"/>
    <x v="61"/>
    <s v="C0023"/>
    <x v="129"/>
    <x v="8"/>
    <x v="6"/>
    <s v="P1020"/>
    <x v="12"/>
    <x v="3"/>
    <n v="7"/>
    <n v="604"/>
    <n v="3805.2"/>
    <x v="351"/>
    <x v="4"/>
    <x v="0"/>
    <x v="2"/>
  </r>
  <r>
    <s v="ORD00354"/>
    <x v="215"/>
    <s v="C0052"/>
    <x v="42"/>
    <x v="17"/>
    <x v="7"/>
    <s v="P1001"/>
    <x v="6"/>
    <x v="0"/>
    <n v="6"/>
    <n v="629"/>
    <n v="3774"/>
    <x v="352"/>
    <x v="3"/>
    <x v="0"/>
    <x v="2"/>
  </r>
  <r>
    <s v="ORD00355"/>
    <x v="178"/>
    <s v="C0178"/>
    <x v="49"/>
    <x v="17"/>
    <x v="7"/>
    <s v="P1010"/>
    <x v="7"/>
    <x v="3"/>
    <n v="3"/>
    <n v="2969"/>
    <n v="8016.3"/>
    <x v="353"/>
    <x v="2"/>
    <x v="0"/>
    <x v="1"/>
  </r>
  <r>
    <s v="ORD00356"/>
    <x v="216"/>
    <s v="C0075"/>
    <x v="130"/>
    <x v="15"/>
    <x v="9"/>
    <s v="P1017"/>
    <x v="17"/>
    <x v="6"/>
    <n v="6"/>
    <n v="1899"/>
    <n v="9115.2000000000007"/>
    <x v="354"/>
    <x v="2"/>
    <x v="1"/>
    <x v="1"/>
  </r>
  <r>
    <s v="ORD00357"/>
    <x v="159"/>
    <s v="C0049"/>
    <x v="77"/>
    <x v="10"/>
    <x v="6"/>
    <s v="P1013"/>
    <x v="19"/>
    <x v="5"/>
    <n v="1"/>
    <n v="149"/>
    <n v="149"/>
    <x v="355"/>
    <x v="1"/>
    <x v="0"/>
    <x v="2"/>
  </r>
  <r>
    <s v="ORD00358"/>
    <x v="217"/>
    <s v="C0130"/>
    <x v="18"/>
    <x v="10"/>
    <x v="6"/>
    <s v="P1004"/>
    <x v="11"/>
    <x v="0"/>
    <n v="6"/>
    <n v="1649"/>
    <n v="7915.2"/>
    <x v="356"/>
    <x v="4"/>
    <x v="2"/>
    <x v="1"/>
  </r>
  <r>
    <s v="ORD00359"/>
    <x v="215"/>
    <s v="C0160"/>
    <x v="54"/>
    <x v="1"/>
    <x v="1"/>
    <s v="P1020"/>
    <x v="12"/>
    <x v="3"/>
    <n v="1"/>
    <n v="604"/>
    <n v="604"/>
    <x v="357"/>
    <x v="3"/>
    <x v="0"/>
    <x v="2"/>
  </r>
  <r>
    <s v="ORD00360"/>
    <x v="218"/>
    <s v="C0114"/>
    <x v="41"/>
    <x v="13"/>
    <x v="8"/>
    <s v="P1004"/>
    <x v="11"/>
    <x v="0"/>
    <n v="5"/>
    <n v="1499"/>
    <n v="5996"/>
    <x v="358"/>
    <x v="3"/>
    <x v="0"/>
    <x v="1"/>
  </r>
  <r>
    <s v="ORD00361"/>
    <x v="64"/>
    <s v="C0170"/>
    <x v="0"/>
    <x v="3"/>
    <x v="0"/>
    <s v="P1009"/>
    <x v="5"/>
    <x v="3"/>
    <n v="3"/>
    <n v="399"/>
    <n v="1197"/>
    <x v="359"/>
    <x v="0"/>
    <x v="0"/>
    <x v="2"/>
  </r>
  <r>
    <s v="ORD00362"/>
    <x v="219"/>
    <s v="C0128"/>
    <x v="20"/>
    <x v="16"/>
    <x v="6"/>
    <s v="P1020"/>
    <x v="12"/>
    <x v="3"/>
    <n v="4"/>
    <n v="549"/>
    <n v="1866.6"/>
    <x v="360"/>
    <x v="2"/>
    <x v="0"/>
    <x v="2"/>
  </r>
  <r>
    <s v="ORD00363"/>
    <x v="220"/>
    <s v="C0011"/>
    <x v="32"/>
    <x v="7"/>
    <x v="5"/>
    <s v="P1016"/>
    <x v="10"/>
    <x v="6"/>
    <n v="4"/>
    <n v="1099"/>
    <n v="3956.4"/>
    <x v="361"/>
    <x v="3"/>
    <x v="0"/>
    <x v="2"/>
  </r>
  <r>
    <s v="ORD00364"/>
    <x v="137"/>
    <s v="C0147"/>
    <x v="98"/>
    <x v="0"/>
    <x v="0"/>
    <s v="P1005"/>
    <x v="0"/>
    <x v="0"/>
    <n v="2"/>
    <n v="4199"/>
    <n v="8398"/>
    <x v="362"/>
    <x v="3"/>
    <x v="2"/>
    <x v="1"/>
  </r>
  <r>
    <s v="ORD00365"/>
    <x v="27"/>
    <s v="C0117"/>
    <x v="75"/>
    <x v="4"/>
    <x v="2"/>
    <s v="P1009"/>
    <x v="5"/>
    <x v="3"/>
    <n v="8"/>
    <n v="359"/>
    <n v="2872"/>
    <x v="363"/>
    <x v="3"/>
    <x v="3"/>
    <x v="2"/>
  </r>
  <r>
    <s v="ORD00366"/>
    <x v="73"/>
    <s v="C0081"/>
    <x v="67"/>
    <x v="6"/>
    <x v="4"/>
    <s v="P1004"/>
    <x v="11"/>
    <x v="0"/>
    <n v="2"/>
    <n v="1349"/>
    <n v="2698"/>
    <x v="364"/>
    <x v="1"/>
    <x v="0"/>
    <x v="2"/>
  </r>
  <r>
    <s v="ORD00367"/>
    <x v="191"/>
    <s v="C0069"/>
    <x v="36"/>
    <x v="2"/>
    <x v="1"/>
    <s v="P1012"/>
    <x v="9"/>
    <x v="5"/>
    <n v="6"/>
    <n v="249"/>
    <n v="1494"/>
    <x v="365"/>
    <x v="4"/>
    <x v="0"/>
    <x v="2"/>
  </r>
  <r>
    <s v="ORD00368"/>
    <x v="40"/>
    <s v="C0123"/>
    <x v="103"/>
    <x v="6"/>
    <x v="4"/>
    <s v="P1006"/>
    <x v="16"/>
    <x v="2"/>
    <n v="2"/>
    <n v="699"/>
    <n v="1118.4000000000001"/>
    <x v="366"/>
    <x v="1"/>
    <x v="0"/>
    <x v="2"/>
  </r>
  <r>
    <s v="ORD00369"/>
    <x v="43"/>
    <s v="C0146"/>
    <x v="78"/>
    <x v="15"/>
    <x v="9"/>
    <s v="P1006"/>
    <x v="16"/>
    <x v="2"/>
    <n v="7"/>
    <n v="699"/>
    <n v="4159.05"/>
    <x v="367"/>
    <x v="1"/>
    <x v="0"/>
    <x v="2"/>
  </r>
  <r>
    <s v="ORD00370"/>
    <x v="153"/>
    <s v="C0106"/>
    <x v="114"/>
    <x v="15"/>
    <x v="9"/>
    <s v="P1002"/>
    <x v="14"/>
    <x v="0"/>
    <n v="2"/>
    <n v="2499"/>
    <n v="3998.4"/>
    <x v="368"/>
    <x v="0"/>
    <x v="3"/>
    <x v="2"/>
  </r>
  <r>
    <s v="ORD00371"/>
    <x v="197"/>
    <s v="C0058"/>
    <x v="16"/>
    <x v="11"/>
    <x v="7"/>
    <s v="P1017"/>
    <x v="17"/>
    <x v="6"/>
    <n v="2"/>
    <n v="1899"/>
    <n v="3038.4"/>
    <x v="369"/>
    <x v="4"/>
    <x v="0"/>
    <x v="2"/>
  </r>
  <r>
    <s v="ORD00372"/>
    <x v="78"/>
    <s v="C0099"/>
    <x v="27"/>
    <x v="8"/>
    <x v="6"/>
    <s v="P1018"/>
    <x v="18"/>
    <x v="1"/>
    <n v="1"/>
    <n v="719"/>
    <n v="575.20000000000005"/>
    <x v="370"/>
    <x v="0"/>
    <x v="3"/>
    <x v="2"/>
  </r>
  <r>
    <s v="ORD00373"/>
    <x v="72"/>
    <s v="C0020"/>
    <x v="118"/>
    <x v="0"/>
    <x v="0"/>
    <s v="P1011"/>
    <x v="3"/>
    <x v="3"/>
    <n v="4"/>
    <n v="899"/>
    <n v="3416.2"/>
    <x v="371"/>
    <x v="1"/>
    <x v="0"/>
    <x v="2"/>
  </r>
  <r>
    <s v="ORD00374"/>
    <x v="55"/>
    <s v="C0061"/>
    <x v="125"/>
    <x v="2"/>
    <x v="1"/>
    <s v="P1015"/>
    <x v="4"/>
    <x v="4"/>
    <n v="8"/>
    <n v="8399"/>
    <n v="60472.800000000003"/>
    <x v="372"/>
    <x v="4"/>
    <x v="0"/>
    <x v="0"/>
  </r>
  <r>
    <s v="ORD00375"/>
    <x v="68"/>
    <s v="C0168"/>
    <x v="97"/>
    <x v="14"/>
    <x v="1"/>
    <s v="P1004"/>
    <x v="11"/>
    <x v="0"/>
    <n v="7"/>
    <n v="1499"/>
    <n v="10493"/>
    <x v="373"/>
    <x v="3"/>
    <x v="3"/>
    <x v="0"/>
  </r>
  <r>
    <s v="ORD00376"/>
    <x v="175"/>
    <s v="C0164"/>
    <x v="63"/>
    <x v="4"/>
    <x v="2"/>
    <s v="P1017"/>
    <x v="17"/>
    <x v="6"/>
    <n v="4"/>
    <n v="2089"/>
    <n v="6684.8"/>
    <x v="374"/>
    <x v="2"/>
    <x v="0"/>
    <x v="1"/>
  </r>
  <r>
    <s v="ORD00377"/>
    <x v="221"/>
    <s v="C0117"/>
    <x v="75"/>
    <x v="11"/>
    <x v="7"/>
    <s v="P1018"/>
    <x v="18"/>
    <x v="1"/>
    <n v="8"/>
    <n v="879"/>
    <n v="5625.6"/>
    <x v="375"/>
    <x v="4"/>
    <x v="0"/>
    <x v="1"/>
  </r>
  <r>
    <s v="ORD00378"/>
    <x v="222"/>
    <s v="C0001"/>
    <x v="90"/>
    <x v="11"/>
    <x v="7"/>
    <s v="P1012"/>
    <x v="9"/>
    <x v="5"/>
    <n v="5"/>
    <n v="261"/>
    <n v="1109.25"/>
    <x v="376"/>
    <x v="3"/>
    <x v="0"/>
    <x v="2"/>
  </r>
  <r>
    <s v="ORD00379"/>
    <x v="223"/>
    <s v="C0036"/>
    <x v="95"/>
    <x v="6"/>
    <x v="4"/>
    <s v="P1004"/>
    <x v="11"/>
    <x v="0"/>
    <n v="5"/>
    <n v="1574"/>
    <n v="7870"/>
    <x v="377"/>
    <x v="4"/>
    <x v="0"/>
    <x v="1"/>
  </r>
  <r>
    <s v="ORD00380"/>
    <x v="65"/>
    <s v="C0028"/>
    <x v="34"/>
    <x v="6"/>
    <x v="4"/>
    <s v="P1002"/>
    <x v="14"/>
    <x v="0"/>
    <n v="2"/>
    <n v="2499"/>
    <n v="4498.2"/>
    <x v="378"/>
    <x v="0"/>
    <x v="0"/>
    <x v="2"/>
  </r>
  <r>
    <s v="ORD00381"/>
    <x v="224"/>
    <s v="C0136"/>
    <x v="24"/>
    <x v="1"/>
    <x v="1"/>
    <s v="P1018"/>
    <x v="18"/>
    <x v="1"/>
    <n v="7"/>
    <n v="839"/>
    <n v="5285.7"/>
    <x v="379"/>
    <x v="1"/>
    <x v="0"/>
    <x v="1"/>
  </r>
  <r>
    <s v="ORD00382"/>
    <x v="225"/>
    <s v="C0027"/>
    <x v="35"/>
    <x v="13"/>
    <x v="8"/>
    <s v="P1020"/>
    <x v="12"/>
    <x v="3"/>
    <n v="6"/>
    <n v="576"/>
    <n v="3110.4"/>
    <x v="380"/>
    <x v="0"/>
    <x v="2"/>
    <x v="2"/>
  </r>
  <r>
    <s v="ORD00383"/>
    <x v="26"/>
    <s v="C0102"/>
    <x v="80"/>
    <x v="11"/>
    <x v="7"/>
    <s v="P1010"/>
    <x v="7"/>
    <x v="3"/>
    <n v="8"/>
    <n v="3299"/>
    <n v="26392"/>
    <x v="381"/>
    <x v="0"/>
    <x v="0"/>
    <x v="0"/>
  </r>
  <r>
    <s v="ORD00384"/>
    <x v="226"/>
    <s v="C0081"/>
    <x v="67"/>
    <x v="7"/>
    <x v="5"/>
    <s v="P1007"/>
    <x v="13"/>
    <x v="2"/>
    <n v="4"/>
    <n v="2299"/>
    <n v="7816.6"/>
    <x v="382"/>
    <x v="2"/>
    <x v="2"/>
    <x v="1"/>
  </r>
  <r>
    <s v="ORD00385"/>
    <x v="227"/>
    <s v="C0167"/>
    <x v="12"/>
    <x v="10"/>
    <x v="6"/>
    <s v="P1017"/>
    <x v="17"/>
    <x v="6"/>
    <n v="6"/>
    <n v="2089"/>
    <n v="12534"/>
    <x v="383"/>
    <x v="0"/>
    <x v="0"/>
    <x v="0"/>
  </r>
  <r>
    <s v="ORD00386"/>
    <x v="24"/>
    <s v="C0107"/>
    <x v="91"/>
    <x v="7"/>
    <x v="5"/>
    <s v="P1010"/>
    <x v="7"/>
    <x v="3"/>
    <n v="7"/>
    <n v="2969"/>
    <n v="17665.55"/>
    <x v="384"/>
    <x v="4"/>
    <x v="0"/>
    <x v="0"/>
  </r>
  <r>
    <s v="ORD00387"/>
    <x v="199"/>
    <s v="C0052"/>
    <x v="42"/>
    <x v="5"/>
    <x v="3"/>
    <s v="P1006"/>
    <x v="16"/>
    <x v="2"/>
    <n v="5"/>
    <n v="769"/>
    <n v="3652.75"/>
    <x v="385"/>
    <x v="3"/>
    <x v="0"/>
    <x v="2"/>
  </r>
  <r>
    <s v="ORD00388"/>
    <x v="132"/>
    <s v="C0139"/>
    <x v="47"/>
    <x v="1"/>
    <x v="1"/>
    <s v="P1012"/>
    <x v="9"/>
    <x v="5"/>
    <n v="8"/>
    <n v="224"/>
    <n v="1523.2"/>
    <x v="386"/>
    <x v="0"/>
    <x v="2"/>
    <x v="2"/>
  </r>
  <r>
    <s v="ORD00389"/>
    <x v="211"/>
    <s v="C0144"/>
    <x v="62"/>
    <x v="13"/>
    <x v="8"/>
    <s v="P1008"/>
    <x v="2"/>
    <x v="2"/>
    <n v="5"/>
    <n v="1429"/>
    <n v="5716"/>
    <x v="387"/>
    <x v="4"/>
    <x v="0"/>
    <x v="1"/>
  </r>
  <r>
    <s v="ORD00390"/>
    <x v="1"/>
    <s v="C0142"/>
    <x v="10"/>
    <x v="1"/>
    <x v="1"/>
    <s v="P1001"/>
    <x v="6"/>
    <x v="0"/>
    <n v="5"/>
    <n v="599"/>
    <n v="2545.75"/>
    <x v="388"/>
    <x v="4"/>
    <x v="3"/>
    <x v="2"/>
  </r>
  <r>
    <s v="ORD00391"/>
    <x v="200"/>
    <s v="C0166"/>
    <x v="4"/>
    <x v="17"/>
    <x v="7"/>
    <s v="P1019"/>
    <x v="1"/>
    <x v="1"/>
    <n v="4"/>
    <n v="1759"/>
    <n v="7036"/>
    <x v="389"/>
    <x v="1"/>
    <x v="1"/>
    <x v="1"/>
  </r>
  <r>
    <s v="ORD00392"/>
    <x v="166"/>
    <s v="C0045"/>
    <x v="65"/>
    <x v="3"/>
    <x v="0"/>
    <s v="P1004"/>
    <x v="11"/>
    <x v="0"/>
    <n v="7"/>
    <n v="1349"/>
    <n v="8498.7000000000007"/>
    <x v="390"/>
    <x v="2"/>
    <x v="0"/>
    <x v="1"/>
  </r>
  <r>
    <s v="ORD00393"/>
    <x v="228"/>
    <s v="C0002"/>
    <x v="106"/>
    <x v="11"/>
    <x v="7"/>
    <s v="P1015"/>
    <x v="4"/>
    <x v="4"/>
    <n v="3"/>
    <n v="7199"/>
    <n v="21597"/>
    <x v="391"/>
    <x v="0"/>
    <x v="0"/>
    <x v="0"/>
  </r>
  <r>
    <s v="ORD00394"/>
    <x v="196"/>
    <s v="C0170"/>
    <x v="0"/>
    <x v="4"/>
    <x v="2"/>
    <s v="P1016"/>
    <x v="10"/>
    <x v="6"/>
    <n v="6"/>
    <n v="899"/>
    <n v="4315.2"/>
    <x v="392"/>
    <x v="1"/>
    <x v="1"/>
    <x v="2"/>
  </r>
  <r>
    <s v="ORD00395"/>
    <x v="229"/>
    <s v="C0130"/>
    <x v="18"/>
    <x v="10"/>
    <x v="6"/>
    <s v="P1014"/>
    <x v="8"/>
    <x v="4"/>
    <n v="7"/>
    <n v="5849"/>
    <n v="38895.85"/>
    <x v="393"/>
    <x v="1"/>
    <x v="0"/>
    <x v="0"/>
  </r>
  <r>
    <s v="ORD00396"/>
    <x v="127"/>
    <s v="C0076"/>
    <x v="84"/>
    <x v="16"/>
    <x v="6"/>
    <s v="P1020"/>
    <x v="12"/>
    <x v="3"/>
    <n v="8"/>
    <n v="576"/>
    <n v="3686.4"/>
    <x v="394"/>
    <x v="2"/>
    <x v="0"/>
    <x v="2"/>
  </r>
  <r>
    <s v="ORD00397"/>
    <x v="89"/>
    <s v="C0160"/>
    <x v="54"/>
    <x v="12"/>
    <x v="3"/>
    <s v="P1002"/>
    <x v="14"/>
    <x v="0"/>
    <n v="6"/>
    <n v="2499"/>
    <n v="14994"/>
    <x v="395"/>
    <x v="0"/>
    <x v="0"/>
    <x v="0"/>
  </r>
  <r>
    <s v="ORD00398"/>
    <x v="230"/>
    <s v="C0096"/>
    <x v="78"/>
    <x v="3"/>
    <x v="0"/>
    <s v="P1017"/>
    <x v="17"/>
    <x v="6"/>
    <n v="8"/>
    <n v="1899"/>
    <n v="15192"/>
    <x v="396"/>
    <x v="1"/>
    <x v="0"/>
    <x v="0"/>
  </r>
  <r>
    <s v="ORD00399"/>
    <x v="231"/>
    <s v="C0043"/>
    <x v="29"/>
    <x v="7"/>
    <x v="5"/>
    <s v="P1018"/>
    <x v="18"/>
    <x v="1"/>
    <n v="1"/>
    <n v="879"/>
    <n v="879"/>
    <x v="397"/>
    <x v="1"/>
    <x v="2"/>
    <x v="2"/>
  </r>
  <r>
    <s v="ORD00400"/>
    <x v="232"/>
    <s v="C0053"/>
    <x v="108"/>
    <x v="7"/>
    <x v="5"/>
    <s v="P1014"/>
    <x v="8"/>
    <x v="4"/>
    <n v="2"/>
    <n v="7149"/>
    <n v="11438.4"/>
    <x v="398"/>
    <x v="4"/>
    <x v="0"/>
    <x v="0"/>
  </r>
  <r>
    <s v="ORD00401"/>
    <x v="233"/>
    <s v="C0019"/>
    <x v="76"/>
    <x v="1"/>
    <x v="1"/>
    <s v="P1006"/>
    <x v="16"/>
    <x v="2"/>
    <n v="5"/>
    <n v="734"/>
    <n v="3670"/>
    <x v="399"/>
    <x v="1"/>
    <x v="2"/>
    <x v="2"/>
  </r>
  <r>
    <s v="ORD00402"/>
    <x v="157"/>
    <s v="C0116"/>
    <x v="68"/>
    <x v="13"/>
    <x v="8"/>
    <s v="P1014"/>
    <x v="8"/>
    <x v="4"/>
    <n v="6"/>
    <n v="5849"/>
    <n v="31584.6"/>
    <x v="400"/>
    <x v="0"/>
    <x v="0"/>
    <x v="0"/>
  </r>
  <r>
    <s v="ORD00403"/>
    <x v="175"/>
    <s v="C0017"/>
    <x v="43"/>
    <x v="1"/>
    <x v="1"/>
    <s v="P1003"/>
    <x v="15"/>
    <x v="0"/>
    <n v="6"/>
    <n v="1889"/>
    <n v="11334"/>
    <x v="401"/>
    <x v="2"/>
    <x v="0"/>
    <x v="0"/>
  </r>
  <r>
    <s v="ORD00404"/>
    <x v="234"/>
    <s v="C0098"/>
    <x v="13"/>
    <x v="13"/>
    <x v="8"/>
    <s v="P1001"/>
    <x v="6"/>
    <x v="0"/>
    <n v="8"/>
    <n v="599"/>
    <n v="4073.2"/>
    <x v="402"/>
    <x v="4"/>
    <x v="3"/>
    <x v="2"/>
  </r>
  <r>
    <s v="ORD00405"/>
    <x v="70"/>
    <s v="C0163"/>
    <x v="124"/>
    <x v="8"/>
    <x v="6"/>
    <s v="P1010"/>
    <x v="7"/>
    <x v="3"/>
    <n v="6"/>
    <n v="2969"/>
    <n v="15141.9"/>
    <x v="403"/>
    <x v="1"/>
    <x v="0"/>
    <x v="0"/>
  </r>
  <r>
    <s v="ORD00406"/>
    <x v="148"/>
    <s v="C0153"/>
    <x v="2"/>
    <x v="13"/>
    <x v="8"/>
    <s v="P1018"/>
    <x v="18"/>
    <x v="1"/>
    <n v="2"/>
    <n v="799"/>
    <n v="1598"/>
    <x v="404"/>
    <x v="2"/>
    <x v="0"/>
    <x v="2"/>
  </r>
  <r>
    <s v="ORD00407"/>
    <x v="81"/>
    <s v="C0037"/>
    <x v="131"/>
    <x v="10"/>
    <x v="6"/>
    <s v="P1006"/>
    <x v="16"/>
    <x v="2"/>
    <n v="4"/>
    <n v="734"/>
    <n v="2789.2"/>
    <x v="405"/>
    <x v="1"/>
    <x v="0"/>
    <x v="2"/>
  </r>
  <r>
    <s v="ORD00408"/>
    <x v="112"/>
    <s v="C0141"/>
    <x v="8"/>
    <x v="15"/>
    <x v="9"/>
    <s v="P1018"/>
    <x v="18"/>
    <x v="1"/>
    <n v="2"/>
    <n v="799"/>
    <n v="1278.4000000000001"/>
    <x v="406"/>
    <x v="3"/>
    <x v="0"/>
    <x v="2"/>
  </r>
  <r>
    <s v="ORD00409"/>
    <x v="235"/>
    <s v="C0085"/>
    <x v="83"/>
    <x v="17"/>
    <x v="7"/>
    <s v="P1005"/>
    <x v="0"/>
    <x v="0"/>
    <n v="4"/>
    <n v="3599"/>
    <n v="13676.2"/>
    <x v="407"/>
    <x v="1"/>
    <x v="0"/>
    <x v="0"/>
  </r>
  <r>
    <s v="ORD00410"/>
    <x v="236"/>
    <s v="C0158"/>
    <x v="81"/>
    <x v="4"/>
    <x v="2"/>
    <s v="P1019"/>
    <x v="1"/>
    <x v="1"/>
    <n v="3"/>
    <n v="1679"/>
    <n v="4281.45"/>
    <x v="408"/>
    <x v="2"/>
    <x v="1"/>
    <x v="2"/>
  </r>
  <r>
    <s v="ORD00411"/>
    <x v="224"/>
    <s v="C0081"/>
    <x v="67"/>
    <x v="12"/>
    <x v="3"/>
    <s v="P1008"/>
    <x v="2"/>
    <x v="2"/>
    <n v="7"/>
    <n v="1299"/>
    <n v="8638.35"/>
    <x v="409"/>
    <x v="2"/>
    <x v="2"/>
    <x v="1"/>
  </r>
  <r>
    <s v="ORD00412"/>
    <x v="25"/>
    <s v="C0092"/>
    <x v="82"/>
    <x v="4"/>
    <x v="2"/>
    <s v="P1016"/>
    <x v="10"/>
    <x v="6"/>
    <n v="2"/>
    <n v="999"/>
    <n v="1598.4"/>
    <x v="410"/>
    <x v="2"/>
    <x v="3"/>
    <x v="2"/>
  </r>
  <r>
    <s v="ORD00413"/>
    <x v="5"/>
    <s v="C0051"/>
    <x v="86"/>
    <x v="5"/>
    <x v="3"/>
    <s v="P1003"/>
    <x v="15"/>
    <x v="0"/>
    <n v="2"/>
    <n v="1619"/>
    <n v="2752.3"/>
    <x v="411"/>
    <x v="0"/>
    <x v="0"/>
    <x v="2"/>
  </r>
  <r>
    <s v="ORD00414"/>
    <x v="237"/>
    <s v="C0010"/>
    <x v="55"/>
    <x v="7"/>
    <x v="5"/>
    <s v="P1009"/>
    <x v="5"/>
    <x v="3"/>
    <n v="8"/>
    <n v="439"/>
    <n v="3512"/>
    <x v="412"/>
    <x v="1"/>
    <x v="2"/>
    <x v="2"/>
  </r>
  <r>
    <s v="ORD00415"/>
    <x v="238"/>
    <s v="C0035"/>
    <x v="35"/>
    <x v="15"/>
    <x v="9"/>
    <s v="P1017"/>
    <x v="17"/>
    <x v="6"/>
    <n v="2"/>
    <n v="1899"/>
    <n v="3608.1"/>
    <x v="413"/>
    <x v="1"/>
    <x v="3"/>
    <x v="2"/>
  </r>
  <r>
    <s v="ORD00416"/>
    <x v="160"/>
    <s v="C0043"/>
    <x v="29"/>
    <x v="3"/>
    <x v="0"/>
    <s v="P1005"/>
    <x v="0"/>
    <x v="0"/>
    <n v="8"/>
    <n v="3999"/>
    <n v="31992"/>
    <x v="414"/>
    <x v="0"/>
    <x v="0"/>
    <x v="0"/>
  </r>
  <r>
    <s v="ORD00417"/>
    <x v="43"/>
    <s v="C0092"/>
    <x v="82"/>
    <x v="1"/>
    <x v="1"/>
    <s v="P1008"/>
    <x v="2"/>
    <x v="2"/>
    <n v="8"/>
    <n v="1299"/>
    <n v="10392"/>
    <x v="415"/>
    <x v="1"/>
    <x v="0"/>
    <x v="0"/>
  </r>
  <r>
    <s v="ORD00418"/>
    <x v="239"/>
    <s v="C0093"/>
    <x v="132"/>
    <x v="13"/>
    <x v="8"/>
    <s v="P1016"/>
    <x v="10"/>
    <x v="6"/>
    <n v="8"/>
    <n v="899"/>
    <n v="7192"/>
    <x v="416"/>
    <x v="2"/>
    <x v="0"/>
    <x v="1"/>
  </r>
  <r>
    <s v="ORD00419"/>
    <x v="167"/>
    <s v="C0071"/>
    <x v="38"/>
    <x v="5"/>
    <x v="3"/>
    <s v="P1019"/>
    <x v="1"/>
    <x v="1"/>
    <n v="3"/>
    <n v="1599"/>
    <n v="3837.6"/>
    <x v="417"/>
    <x v="0"/>
    <x v="0"/>
    <x v="2"/>
  </r>
  <r>
    <s v="ORD00420"/>
    <x v="230"/>
    <s v="C0065"/>
    <x v="40"/>
    <x v="13"/>
    <x v="8"/>
    <s v="P1008"/>
    <x v="2"/>
    <x v="2"/>
    <n v="7"/>
    <n v="1299"/>
    <n v="8638.35"/>
    <x v="418"/>
    <x v="4"/>
    <x v="2"/>
    <x v="1"/>
  </r>
  <r>
    <s v="ORD00421"/>
    <x v="51"/>
    <s v="C0036"/>
    <x v="95"/>
    <x v="15"/>
    <x v="9"/>
    <s v="P1006"/>
    <x v="16"/>
    <x v="2"/>
    <n v="4"/>
    <n v="629"/>
    <n v="2138.6"/>
    <x v="419"/>
    <x v="1"/>
    <x v="0"/>
    <x v="2"/>
  </r>
  <r>
    <s v="ORD00422"/>
    <x v="134"/>
    <s v="C0155"/>
    <x v="85"/>
    <x v="9"/>
    <x v="1"/>
    <s v="P1008"/>
    <x v="2"/>
    <x v="2"/>
    <n v="7"/>
    <n v="1299"/>
    <n v="7274.4"/>
    <x v="420"/>
    <x v="4"/>
    <x v="0"/>
    <x v="1"/>
  </r>
  <r>
    <s v="ORD00423"/>
    <x v="220"/>
    <s v="C0166"/>
    <x v="4"/>
    <x v="6"/>
    <x v="4"/>
    <s v="P1001"/>
    <x v="6"/>
    <x v="0"/>
    <n v="4"/>
    <n v="539"/>
    <n v="2156"/>
    <x v="421"/>
    <x v="1"/>
    <x v="0"/>
    <x v="2"/>
  </r>
  <r>
    <s v="ORD00424"/>
    <x v="240"/>
    <s v="C0147"/>
    <x v="98"/>
    <x v="8"/>
    <x v="6"/>
    <s v="P1002"/>
    <x v="14"/>
    <x v="0"/>
    <n v="3"/>
    <n v="2499"/>
    <n v="7497"/>
    <x v="422"/>
    <x v="4"/>
    <x v="0"/>
    <x v="1"/>
  </r>
  <r>
    <s v="ORD00425"/>
    <x v="241"/>
    <s v="C0005"/>
    <x v="51"/>
    <x v="4"/>
    <x v="2"/>
    <s v="P1003"/>
    <x v="15"/>
    <x v="0"/>
    <n v="4"/>
    <n v="1799"/>
    <n v="6116.6"/>
    <x v="423"/>
    <x v="4"/>
    <x v="0"/>
    <x v="1"/>
  </r>
  <r>
    <s v="ORD00426"/>
    <x v="242"/>
    <s v="C0037"/>
    <x v="131"/>
    <x v="10"/>
    <x v="6"/>
    <s v="P1020"/>
    <x v="12"/>
    <x v="3"/>
    <n v="5"/>
    <n v="549"/>
    <n v="2196"/>
    <x v="424"/>
    <x v="4"/>
    <x v="0"/>
    <x v="2"/>
  </r>
  <r>
    <s v="ORD00427"/>
    <x v="243"/>
    <s v="C0097"/>
    <x v="72"/>
    <x v="13"/>
    <x v="8"/>
    <s v="P1005"/>
    <x v="0"/>
    <x v="0"/>
    <n v="2"/>
    <n v="3599"/>
    <n v="7198"/>
    <x v="425"/>
    <x v="0"/>
    <x v="0"/>
    <x v="1"/>
  </r>
  <r>
    <s v="ORD00428"/>
    <x v="150"/>
    <s v="C0025"/>
    <x v="111"/>
    <x v="10"/>
    <x v="6"/>
    <s v="P1016"/>
    <x v="10"/>
    <x v="6"/>
    <n v="1"/>
    <n v="1049"/>
    <n v="891.65"/>
    <x v="426"/>
    <x v="3"/>
    <x v="0"/>
    <x v="2"/>
  </r>
  <r>
    <s v="ORD00429"/>
    <x v="195"/>
    <s v="C0139"/>
    <x v="47"/>
    <x v="14"/>
    <x v="1"/>
    <s v="P1014"/>
    <x v="8"/>
    <x v="4"/>
    <n v="7"/>
    <n v="6499"/>
    <n v="45493"/>
    <x v="427"/>
    <x v="4"/>
    <x v="0"/>
    <x v="0"/>
  </r>
  <r>
    <s v="ORD00430"/>
    <x v="244"/>
    <s v="C0090"/>
    <x v="75"/>
    <x v="9"/>
    <x v="1"/>
    <s v="P1014"/>
    <x v="8"/>
    <x v="4"/>
    <n v="3"/>
    <n v="6499"/>
    <n v="17547.3"/>
    <x v="428"/>
    <x v="3"/>
    <x v="0"/>
    <x v="0"/>
  </r>
  <r>
    <s v="ORD00431"/>
    <x v="245"/>
    <s v="C0066"/>
    <x v="61"/>
    <x v="16"/>
    <x v="6"/>
    <s v="P1001"/>
    <x v="6"/>
    <x v="0"/>
    <n v="1"/>
    <n v="629"/>
    <n v="534.65"/>
    <x v="429"/>
    <x v="3"/>
    <x v="0"/>
    <x v="2"/>
  </r>
  <r>
    <s v="ORD00432"/>
    <x v="204"/>
    <s v="C0081"/>
    <x v="67"/>
    <x v="6"/>
    <x v="4"/>
    <s v="P1012"/>
    <x v="9"/>
    <x v="5"/>
    <n v="2"/>
    <n v="249"/>
    <n v="448.2"/>
    <x v="430"/>
    <x v="2"/>
    <x v="0"/>
    <x v="2"/>
  </r>
  <r>
    <s v="ORD00433"/>
    <x v="107"/>
    <s v="C0145"/>
    <x v="88"/>
    <x v="17"/>
    <x v="7"/>
    <s v="P1020"/>
    <x v="12"/>
    <x v="3"/>
    <n v="5"/>
    <n v="604"/>
    <n v="2718"/>
    <x v="431"/>
    <x v="4"/>
    <x v="0"/>
    <x v="2"/>
  </r>
  <r>
    <s v="ORD00434"/>
    <x v="43"/>
    <s v="C0046"/>
    <x v="40"/>
    <x v="17"/>
    <x v="7"/>
    <s v="P1018"/>
    <x v="18"/>
    <x v="1"/>
    <n v="8"/>
    <n v="799"/>
    <n v="6072.4"/>
    <x v="432"/>
    <x v="4"/>
    <x v="0"/>
    <x v="1"/>
  </r>
  <r>
    <s v="ORD00435"/>
    <x v="125"/>
    <s v="C0059"/>
    <x v="48"/>
    <x v="15"/>
    <x v="9"/>
    <s v="P1006"/>
    <x v="16"/>
    <x v="2"/>
    <n v="2"/>
    <n v="699"/>
    <n v="1188.3"/>
    <x v="433"/>
    <x v="2"/>
    <x v="3"/>
    <x v="2"/>
  </r>
  <r>
    <s v="ORD00436"/>
    <x v="76"/>
    <s v="C0176"/>
    <x v="133"/>
    <x v="1"/>
    <x v="1"/>
    <s v="P1006"/>
    <x v="16"/>
    <x v="2"/>
    <n v="7"/>
    <n v="769"/>
    <n v="5383"/>
    <x v="434"/>
    <x v="1"/>
    <x v="0"/>
    <x v="1"/>
  </r>
  <r>
    <s v="ORD00437"/>
    <x v="246"/>
    <s v="C0023"/>
    <x v="129"/>
    <x v="2"/>
    <x v="1"/>
    <s v="P1009"/>
    <x v="5"/>
    <x v="3"/>
    <n v="4"/>
    <n v="399"/>
    <n v="1596"/>
    <x v="435"/>
    <x v="4"/>
    <x v="2"/>
    <x v="2"/>
  </r>
  <r>
    <s v="ORD00438"/>
    <x v="89"/>
    <s v="C0168"/>
    <x v="97"/>
    <x v="3"/>
    <x v="0"/>
    <s v="P1010"/>
    <x v="7"/>
    <x v="3"/>
    <n v="1"/>
    <n v="3299"/>
    <n v="2639.2"/>
    <x v="436"/>
    <x v="3"/>
    <x v="0"/>
    <x v="2"/>
  </r>
  <r>
    <s v="ORD00439"/>
    <x v="239"/>
    <s v="C0074"/>
    <x v="15"/>
    <x v="16"/>
    <x v="6"/>
    <s v="P1002"/>
    <x v="14"/>
    <x v="0"/>
    <n v="4"/>
    <n v="2624"/>
    <n v="10496"/>
    <x v="437"/>
    <x v="2"/>
    <x v="0"/>
    <x v="0"/>
  </r>
  <r>
    <s v="ORD00440"/>
    <x v="247"/>
    <s v="C0023"/>
    <x v="129"/>
    <x v="5"/>
    <x v="3"/>
    <s v="P1013"/>
    <x v="19"/>
    <x v="5"/>
    <n v="6"/>
    <n v="164"/>
    <n v="885.6"/>
    <x v="438"/>
    <x v="1"/>
    <x v="0"/>
    <x v="2"/>
  </r>
  <r>
    <s v="ORD00441"/>
    <x v="200"/>
    <s v="C0018"/>
    <x v="34"/>
    <x v="2"/>
    <x v="1"/>
    <s v="P1018"/>
    <x v="18"/>
    <x v="1"/>
    <n v="5"/>
    <n v="879"/>
    <n v="3735.75"/>
    <x v="439"/>
    <x v="2"/>
    <x v="0"/>
    <x v="2"/>
  </r>
  <r>
    <s v="ORD00442"/>
    <x v="178"/>
    <s v="C0156"/>
    <x v="20"/>
    <x v="16"/>
    <x v="6"/>
    <s v="P1015"/>
    <x v="4"/>
    <x v="4"/>
    <n v="7"/>
    <n v="8399"/>
    <n v="58793"/>
    <x v="440"/>
    <x v="4"/>
    <x v="0"/>
    <x v="0"/>
  </r>
  <r>
    <s v="ORD00443"/>
    <x v="126"/>
    <s v="C0129"/>
    <x v="107"/>
    <x v="4"/>
    <x v="2"/>
    <s v="P1011"/>
    <x v="3"/>
    <x v="3"/>
    <n v="2"/>
    <n v="944"/>
    <n v="1793.6"/>
    <x v="441"/>
    <x v="0"/>
    <x v="0"/>
    <x v="2"/>
  </r>
  <r>
    <s v="ORD00444"/>
    <x v="248"/>
    <s v="C0145"/>
    <x v="88"/>
    <x v="0"/>
    <x v="0"/>
    <s v="P1008"/>
    <x v="2"/>
    <x v="2"/>
    <n v="6"/>
    <n v="1299"/>
    <n v="6235.2"/>
    <x v="442"/>
    <x v="0"/>
    <x v="2"/>
    <x v="1"/>
  </r>
  <r>
    <s v="ORD00445"/>
    <x v="249"/>
    <s v="C0067"/>
    <x v="127"/>
    <x v="2"/>
    <x v="1"/>
    <s v="P1013"/>
    <x v="19"/>
    <x v="5"/>
    <n v="4"/>
    <n v="164"/>
    <n v="524.79999999999995"/>
    <x v="443"/>
    <x v="2"/>
    <x v="0"/>
    <x v="2"/>
  </r>
  <r>
    <s v="ORD00446"/>
    <x v="230"/>
    <s v="C0138"/>
    <x v="100"/>
    <x v="14"/>
    <x v="1"/>
    <s v="P1009"/>
    <x v="5"/>
    <x v="3"/>
    <n v="4"/>
    <n v="399"/>
    <n v="1596"/>
    <x v="444"/>
    <x v="2"/>
    <x v="0"/>
    <x v="2"/>
  </r>
  <r>
    <s v="ORD00447"/>
    <x v="250"/>
    <s v="C0081"/>
    <x v="67"/>
    <x v="17"/>
    <x v="7"/>
    <s v="P1007"/>
    <x v="13"/>
    <x v="2"/>
    <n v="5"/>
    <n v="2299"/>
    <n v="9196"/>
    <x v="445"/>
    <x v="1"/>
    <x v="0"/>
    <x v="1"/>
  </r>
  <r>
    <s v="ORD00448"/>
    <x v="251"/>
    <s v="C0062"/>
    <x v="103"/>
    <x v="5"/>
    <x v="3"/>
    <s v="P1007"/>
    <x v="13"/>
    <x v="2"/>
    <n v="4"/>
    <n v="2299"/>
    <n v="9196"/>
    <x v="446"/>
    <x v="2"/>
    <x v="0"/>
    <x v="1"/>
  </r>
  <r>
    <s v="ORD00449"/>
    <x v="252"/>
    <s v="C0021"/>
    <x v="116"/>
    <x v="0"/>
    <x v="0"/>
    <s v="P1020"/>
    <x v="12"/>
    <x v="3"/>
    <n v="1"/>
    <n v="576"/>
    <n v="576"/>
    <x v="447"/>
    <x v="2"/>
    <x v="0"/>
    <x v="2"/>
  </r>
  <r>
    <s v="ORD00450"/>
    <x v="253"/>
    <s v="C0071"/>
    <x v="38"/>
    <x v="0"/>
    <x v="0"/>
    <s v="P1006"/>
    <x v="16"/>
    <x v="2"/>
    <n v="5"/>
    <n v="699"/>
    <n v="3495"/>
    <x v="448"/>
    <x v="1"/>
    <x v="0"/>
    <x v="2"/>
  </r>
  <r>
    <s v="ORD00451"/>
    <x v="254"/>
    <s v="C0139"/>
    <x v="47"/>
    <x v="1"/>
    <x v="1"/>
    <s v="P1017"/>
    <x v="17"/>
    <x v="6"/>
    <n v="6"/>
    <n v="1899"/>
    <n v="9115.2000000000007"/>
    <x v="449"/>
    <x v="4"/>
    <x v="1"/>
    <x v="1"/>
  </r>
  <r>
    <s v="ORD00452"/>
    <x v="239"/>
    <s v="C0118"/>
    <x v="92"/>
    <x v="11"/>
    <x v="7"/>
    <s v="P1001"/>
    <x v="6"/>
    <x v="0"/>
    <n v="1"/>
    <n v="659"/>
    <n v="659"/>
    <x v="450"/>
    <x v="3"/>
    <x v="0"/>
    <x v="2"/>
  </r>
  <r>
    <s v="ORD00453"/>
    <x v="188"/>
    <s v="C0048"/>
    <x v="20"/>
    <x v="7"/>
    <x v="5"/>
    <s v="P1009"/>
    <x v="5"/>
    <x v="3"/>
    <n v="4"/>
    <n v="399"/>
    <n v="1436.4"/>
    <x v="451"/>
    <x v="2"/>
    <x v="0"/>
    <x v="2"/>
  </r>
  <r>
    <s v="ORD00454"/>
    <x v="255"/>
    <s v="C0054"/>
    <x v="110"/>
    <x v="6"/>
    <x v="4"/>
    <s v="P1012"/>
    <x v="9"/>
    <x v="5"/>
    <n v="6"/>
    <n v="249"/>
    <n v="1419.3"/>
    <x v="452"/>
    <x v="0"/>
    <x v="0"/>
    <x v="2"/>
  </r>
  <r>
    <s v="ORD00455"/>
    <x v="16"/>
    <s v="C0059"/>
    <x v="48"/>
    <x v="9"/>
    <x v="1"/>
    <s v="P1009"/>
    <x v="5"/>
    <x v="3"/>
    <n v="4"/>
    <n v="419"/>
    <n v="1508.4"/>
    <x v="453"/>
    <x v="1"/>
    <x v="0"/>
    <x v="2"/>
  </r>
  <r>
    <s v="ORD00456"/>
    <x v="256"/>
    <s v="C0122"/>
    <x v="39"/>
    <x v="14"/>
    <x v="1"/>
    <s v="P1006"/>
    <x v="16"/>
    <x v="2"/>
    <n v="7"/>
    <n v="699"/>
    <n v="4893"/>
    <x v="454"/>
    <x v="0"/>
    <x v="0"/>
    <x v="2"/>
  </r>
  <r>
    <s v="ORD00457"/>
    <x v="235"/>
    <s v="C0077"/>
    <x v="119"/>
    <x v="5"/>
    <x v="3"/>
    <s v="P1018"/>
    <x v="18"/>
    <x v="1"/>
    <n v="1"/>
    <n v="799"/>
    <n v="799"/>
    <x v="455"/>
    <x v="3"/>
    <x v="0"/>
    <x v="2"/>
  </r>
  <r>
    <s v="ORD00458"/>
    <x v="250"/>
    <s v="C0162"/>
    <x v="128"/>
    <x v="9"/>
    <x v="1"/>
    <s v="P1015"/>
    <x v="4"/>
    <x v="4"/>
    <n v="6"/>
    <n v="7999"/>
    <n v="45594.3"/>
    <x v="456"/>
    <x v="0"/>
    <x v="2"/>
    <x v="0"/>
  </r>
  <r>
    <s v="ORD00459"/>
    <x v="129"/>
    <s v="C0006"/>
    <x v="134"/>
    <x v="6"/>
    <x v="4"/>
    <s v="P1004"/>
    <x v="11"/>
    <x v="0"/>
    <n v="6"/>
    <n v="1649"/>
    <n v="8409.9"/>
    <x v="457"/>
    <x v="0"/>
    <x v="0"/>
    <x v="1"/>
  </r>
  <r>
    <s v="ORD00460"/>
    <x v="80"/>
    <s v="C0073"/>
    <x v="117"/>
    <x v="17"/>
    <x v="7"/>
    <s v="P1011"/>
    <x v="3"/>
    <x v="3"/>
    <n v="8"/>
    <n v="989"/>
    <n v="7120.8"/>
    <x v="458"/>
    <x v="4"/>
    <x v="0"/>
    <x v="1"/>
  </r>
  <r>
    <s v="ORD00461"/>
    <x v="119"/>
    <s v="C0038"/>
    <x v="135"/>
    <x v="10"/>
    <x v="6"/>
    <s v="P1011"/>
    <x v="3"/>
    <x v="3"/>
    <n v="7"/>
    <n v="989"/>
    <n v="5884.55"/>
    <x v="459"/>
    <x v="3"/>
    <x v="0"/>
    <x v="1"/>
  </r>
  <r>
    <s v="ORD00462"/>
    <x v="257"/>
    <s v="C0081"/>
    <x v="67"/>
    <x v="11"/>
    <x v="7"/>
    <s v="P1010"/>
    <x v="7"/>
    <x v="3"/>
    <n v="5"/>
    <n v="3464"/>
    <n v="13856"/>
    <x v="460"/>
    <x v="4"/>
    <x v="3"/>
    <x v="0"/>
  </r>
  <r>
    <s v="ORD00463"/>
    <x v="258"/>
    <s v="C0134"/>
    <x v="136"/>
    <x v="15"/>
    <x v="9"/>
    <s v="P1014"/>
    <x v="8"/>
    <x v="4"/>
    <n v="3"/>
    <n v="6499"/>
    <n v="19497"/>
    <x v="461"/>
    <x v="1"/>
    <x v="0"/>
    <x v="0"/>
  </r>
  <r>
    <s v="ORD00464"/>
    <x v="151"/>
    <s v="C0021"/>
    <x v="116"/>
    <x v="16"/>
    <x v="6"/>
    <s v="P1006"/>
    <x v="16"/>
    <x v="2"/>
    <n v="7"/>
    <n v="629"/>
    <n v="4403"/>
    <x v="462"/>
    <x v="4"/>
    <x v="0"/>
    <x v="2"/>
  </r>
  <r>
    <s v="ORD00465"/>
    <x v="124"/>
    <s v="C0135"/>
    <x v="53"/>
    <x v="2"/>
    <x v="1"/>
    <s v="P1004"/>
    <x v="11"/>
    <x v="0"/>
    <n v="5"/>
    <n v="1574"/>
    <n v="7870"/>
    <x v="463"/>
    <x v="4"/>
    <x v="0"/>
    <x v="1"/>
  </r>
  <r>
    <s v="ORD00466"/>
    <x v="145"/>
    <s v="C0114"/>
    <x v="41"/>
    <x v="8"/>
    <x v="6"/>
    <s v="P1005"/>
    <x v="0"/>
    <x v="0"/>
    <n v="3"/>
    <n v="3599"/>
    <n v="10797"/>
    <x v="464"/>
    <x v="2"/>
    <x v="2"/>
    <x v="0"/>
  </r>
  <r>
    <s v="ORD00467"/>
    <x v="259"/>
    <s v="C0070"/>
    <x v="137"/>
    <x v="7"/>
    <x v="5"/>
    <s v="P1015"/>
    <x v="4"/>
    <x v="4"/>
    <n v="3"/>
    <n v="8799"/>
    <n v="22437.45"/>
    <x v="465"/>
    <x v="0"/>
    <x v="0"/>
    <x v="0"/>
  </r>
  <r>
    <s v="ORD00468"/>
    <x v="177"/>
    <s v="C0145"/>
    <x v="88"/>
    <x v="6"/>
    <x v="4"/>
    <s v="P1017"/>
    <x v="17"/>
    <x v="6"/>
    <n v="5"/>
    <n v="1899"/>
    <n v="8545.5"/>
    <x v="466"/>
    <x v="3"/>
    <x v="0"/>
    <x v="1"/>
  </r>
  <r>
    <s v="ORD00469"/>
    <x v="12"/>
    <s v="C0067"/>
    <x v="127"/>
    <x v="8"/>
    <x v="6"/>
    <s v="P1010"/>
    <x v="7"/>
    <x v="3"/>
    <n v="1"/>
    <n v="2969"/>
    <n v="2523.65"/>
    <x v="467"/>
    <x v="1"/>
    <x v="0"/>
    <x v="2"/>
  </r>
  <r>
    <s v="ORD00470"/>
    <x v="215"/>
    <s v="C0003"/>
    <x v="99"/>
    <x v="0"/>
    <x v="0"/>
    <s v="P1016"/>
    <x v="10"/>
    <x v="6"/>
    <n v="5"/>
    <n v="899"/>
    <n v="4045.5"/>
    <x v="468"/>
    <x v="0"/>
    <x v="0"/>
    <x v="2"/>
  </r>
  <r>
    <s v="ORD00471"/>
    <x v="226"/>
    <s v="C0096"/>
    <x v="78"/>
    <x v="16"/>
    <x v="6"/>
    <s v="P1014"/>
    <x v="8"/>
    <x v="4"/>
    <n v="7"/>
    <n v="6499"/>
    <n v="45493"/>
    <x v="469"/>
    <x v="4"/>
    <x v="3"/>
    <x v="0"/>
  </r>
  <r>
    <s v="ORD00472"/>
    <x v="260"/>
    <s v="C0021"/>
    <x v="116"/>
    <x v="6"/>
    <x v="4"/>
    <s v="P1008"/>
    <x v="2"/>
    <x v="2"/>
    <n v="5"/>
    <n v="1299"/>
    <n v="5196"/>
    <x v="470"/>
    <x v="2"/>
    <x v="0"/>
    <x v="1"/>
  </r>
  <r>
    <s v="ORD00473"/>
    <x v="212"/>
    <s v="C0035"/>
    <x v="35"/>
    <x v="4"/>
    <x v="2"/>
    <s v="P1004"/>
    <x v="11"/>
    <x v="0"/>
    <n v="8"/>
    <n v="1574"/>
    <n v="11332.8"/>
    <x v="471"/>
    <x v="0"/>
    <x v="0"/>
    <x v="0"/>
  </r>
  <r>
    <s v="ORD00474"/>
    <x v="261"/>
    <s v="C0039"/>
    <x v="52"/>
    <x v="1"/>
    <x v="1"/>
    <s v="P1018"/>
    <x v="18"/>
    <x v="1"/>
    <n v="1"/>
    <n v="799"/>
    <n v="799"/>
    <x v="472"/>
    <x v="1"/>
    <x v="0"/>
    <x v="2"/>
  </r>
  <r>
    <s v="ORD00475"/>
    <x v="163"/>
    <s v="C0060"/>
    <x v="79"/>
    <x v="2"/>
    <x v="1"/>
    <s v="P1005"/>
    <x v="0"/>
    <x v="0"/>
    <n v="1"/>
    <n v="3999"/>
    <n v="3999"/>
    <x v="473"/>
    <x v="2"/>
    <x v="3"/>
    <x v="2"/>
  </r>
  <r>
    <s v="ORD00476"/>
    <x v="87"/>
    <s v="C0119"/>
    <x v="30"/>
    <x v="1"/>
    <x v="1"/>
    <s v="P1011"/>
    <x v="3"/>
    <x v="3"/>
    <n v="2"/>
    <n v="899"/>
    <n v="1798"/>
    <x v="474"/>
    <x v="4"/>
    <x v="0"/>
    <x v="2"/>
  </r>
  <r>
    <s v="ORD00477"/>
    <x v="262"/>
    <s v="C0050"/>
    <x v="74"/>
    <x v="5"/>
    <x v="3"/>
    <s v="P1013"/>
    <x v="19"/>
    <x v="5"/>
    <n v="1"/>
    <n v="134"/>
    <n v="107.2"/>
    <x v="475"/>
    <x v="4"/>
    <x v="0"/>
    <x v="2"/>
  </r>
  <r>
    <s v="ORD00478"/>
    <x v="210"/>
    <s v="C0118"/>
    <x v="92"/>
    <x v="9"/>
    <x v="1"/>
    <s v="P1017"/>
    <x v="17"/>
    <x v="6"/>
    <n v="4"/>
    <n v="1899"/>
    <n v="6836.4"/>
    <x v="476"/>
    <x v="2"/>
    <x v="2"/>
    <x v="1"/>
  </r>
  <r>
    <s v="ORD00479"/>
    <x v="263"/>
    <s v="C0011"/>
    <x v="32"/>
    <x v="7"/>
    <x v="5"/>
    <s v="P1017"/>
    <x v="17"/>
    <x v="6"/>
    <n v="2"/>
    <n v="1899"/>
    <n v="3418.2"/>
    <x v="477"/>
    <x v="1"/>
    <x v="0"/>
    <x v="2"/>
  </r>
  <r>
    <s v="ORD00480"/>
    <x v="24"/>
    <s v="C0056"/>
    <x v="33"/>
    <x v="9"/>
    <x v="1"/>
    <s v="P1008"/>
    <x v="2"/>
    <x v="2"/>
    <n v="7"/>
    <n v="1299"/>
    <n v="9093"/>
    <x v="478"/>
    <x v="2"/>
    <x v="0"/>
    <x v="1"/>
  </r>
  <r>
    <s v="ORD00481"/>
    <x v="35"/>
    <s v="C0003"/>
    <x v="99"/>
    <x v="1"/>
    <x v="1"/>
    <s v="P1019"/>
    <x v="1"/>
    <x v="1"/>
    <n v="8"/>
    <n v="1759"/>
    <n v="11961.2"/>
    <x v="479"/>
    <x v="3"/>
    <x v="0"/>
    <x v="0"/>
  </r>
  <r>
    <s v="ORD00482"/>
    <x v="52"/>
    <s v="C0176"/>
    <x v="133"/>
    <x v="11"/>
    <x v="7"/>
    <s v="P1002"/>
    <x v="14"/>
    <x v="0"/>
    <n v="1"/>
    <n v="2499"/>
    <n v="1999.2"/>
    <x v="480"/>
    <x v="0"/>
    <x v="3"/>
    <x v="2"/>
  </r>
  <r>
    <s v="ORD00483"/>
    <x v="235"/>
    <s v="C0060"/>
    <x v="79"/>
    <x v="11"/>
    <x v="7"/>
    <s v="P1018"/>
    <x v="18"/>
    <x v="1"/>
    <n v="6"/>
    <n v="799"/>
    <n v="3835.2"/>
    <x v="481"/>
    <x v="4"/>
    <x v="0"/>
    <x v="2"/>
  </r>
  <r>
    <s v="ORD00484"/>
    <x v="79"/>
    <s v="C0011"/>
    <x v="32"/>
    <x v="0"/>
    <x v="0"/>
    <s v="P1015"/>
    <x v="4"/>
    <x v="4"/>
    <n v="5"/>
    <n v="8399"/>
    <n v="33596"/>
    <x v="482"/>
    <x v="0"/>
    <x v="0"/>
    <x v="0"/>
  </r>
  <r>
    <s v="ORD00485"/>
    <x v="147"/>
    <s v="C0120"/>
    <x v="88"/>
    <x v="5"/>
    <x v="3"/>
    <s v="P1020"/>
    <x v="12"/>
    <x v="3"/>
    <n v="3"/>
    <n v="494"/>
    <n v="1259.7"/>
    <x v="483"/>
    <x v="2"/>
    <x v="3"/>
    <x v="2"/>
  </r>
  <r>
    <s v="ORD00486"/>
    <x v="264"/>
    <s v="C0117"/>
    <x v="75"/>
    <x v="14"/>
    <x v="1"/>
    <s v="P1017"/>
    <x v="17"/>
    <x v="6"/>
    <n v="7"/>
    <n v="2089"/>
    <n v="14623"/>
    <x v="484"/>
    <x v="0"/>
    <x v="3"/>
    <x v="0"/>
  </r>
  <r>
    <s v="ORD00487"/>
    <x v="186"/>
    <s v="C0083"/>
    <x v="126"/>
    <x v="2"/>
    <x v="1"/>
    <s v="P1018"/>
    <x v="18"/>
    <x v="1"/>
    <n v="7"/>
    <n v="799"/>
    <n v="4754.05"/>
    <x v="485"/>
    <x v="0"/>
    <x v="0"/>
    <x v="2"/>
  </r>
  <r>
    <s v="ORD00488"/>
    <x v="147"/>
    <s v="C0105"/>
    <x v="27"/>
    <x v="11"/>
    <x v="7"/>
    <s v="P1004"/>
    <x v="11"/>
    <x v="0"/>
    <n v="2"/>
    <n v="1574"/>
    <n v="2518.4"/>
    <x v="486"/>
    <x v="1"/>
    <x v="0"/>
    <x v="2"/>
  </r>
  <r>
    <s v="ORD00489"/>
    <x v="202"/>
    <s v="C0028"/>
    <x v="34"/>
    <x v="0"/>
    <x v="0"/>
    <s v="P1007"/>
    <x v="13"/>
    <x v="2"/>
    <n v="2"/>
    <n v="2069"/>
    <n v="3517.3"/>
    <x v="487"/>
    <x v="4"/>
    <x v="0"/>
    <x v="2"/>
  </r>
  <r>
    <s v="ORD00490"/>
    <x v="265"/>
    <s v="C0180"/>
    <x v="58"/>
    <x v="5"/>
    <x v="3"/>
    <s v="P1002"/>
    <x v="14"/>
    <x v="0"/>
    <n v="6"/>
    <n v="2499"/>
    <n v="12744.9"/>
    <x v="488"/>
    <x v="3"/>
    <x v="2"/>
    <x v="0"/>
  </r>
  <r>
    <s v="ORD00491"/>
    <x v="120"/>
    <s v="C0126"/>
    <x v="95"/>
    <x v="2"/>
    <x v="1"/>
    <s v="P1015"/>
    <x v="4"/>
    <x v="4"/>
    <n v="1"/>
    <n v="7999"/>
    <n v="6799.15"/>
    <x v="489"/>
    <x v="4"/>
    <x v="3"/>
    <x v="1"/>
  </r>
  <r>
    <s v="ORD00492"/>
    <x v="198"/>
    <s v="C0158"/>
    <x v="81"/>
    <x v="5"/>
    <x v="3"/>
    <s v="P1017"/>
    <x v="17"/>
    <x v="6"/>
    <n v="1"/>
    <n v="2089"/>
    <n v="2089"/>
    <x v="490"/>
    <x v="3"/>
    <x v="1"/>
    <x v="2"/>
  </r>
  <r>
    <s v="ORD00493"/>
    <x v="231"/>
    <s v="C0026"/>
    <x v="96"/>
    <x v="12"/>
    <x v="3"/>
    <s v="P1018"/>
    <x v="18"/>
    <x v="1"/>
    <n v="7"/>
    <n v="799"/>
    <n v="5593"/>
    <x v="491"/>
    <x v="1"/>
    <x v="0"/>
    <x v="1"/>
  </r>
  <r>
    <s v="ORD00494"/>
    <x v="104"/>
    <s v="C0143"/>
    <x v="70"/>
    <x v="6"/>
    <x v="4"/>
    <s v="P1004"/>
    <x v="11"/>
    <x v="0"/>
    <n v="6"/>
    <n v="1649"/>
    <n v="8904.6"/>
    <x v="492"/>
    <x v="4"/>
    <x v="2"/>
    <x v="1"/>
  </r>
  <r>
    <s v="ORD00495"/>
    <x v="262"/>
    <s v="C0141"/>
    <x v="8"/>
    <x v="13"/>
    <x v="8"/>
    <s v="P1017"/>
    <x v="17"/>
    <x v="6"/>
    <n v="6"/>
    <n v="2089"/>
    <n v="12534"/>
    <x v="493"/>
    <x v="0"/>
    <x v="0"/>
    <x v="0"/>
  </r>
  <r>
    <s v="ORD00496"/>
    <x v="101"/>
    <s v="C0141"/>
    <x v="8"/>
    <x v="11"/>
    <x v="7"/>
    <s v="P1012"/>
    <x v="9"/>
    <x v="5"/>
    <n v="7"/>
    <n v="274"/>
    <n v="1726.2"/>
    <x v="494"/>
    <x v="2"/>
    <x v="0"/>
    <x v="2"/>
  </r>
  <r>
    <s v="ORD00497"/>
    <x v="121"/>
    <s v="C0055"/>
    <x v="5"/>
    <x v="13"/>
    <x v="8"/>
    <s v="P1018"/>
    <x v="18"/>
    <x v="1"/>
    <n v="5"/>
    <n v="799"/>
    <n v="3595.5"/>
    <x v="495"/>
    <x v="4"/>
    <x v="0"/>
    <x v="2"/>
  </r>
  <r>
    <s v="ORD00498"/>
    <x v="145"/>
    <s v="C0153"/>
    <x v="2"/>
    <x v="14"/>
    <x v="1"/>
    <s v="P1017"/>
    <x v="17"/>
    <x v="6"/>
    <n v="3"/>
    <n v="1899"/>
    <n v="5697"/>
    <x v="496"/>
    <x v="1"/>
    <x v="0"/>
    <x v="1"/>
  </r>
  <r>
    <s v="ORD00499"/>
    <x v="266"/>
    <s v="C0177"/>
    <x v="46"/>
    <x v="5"/>
    <x v="3"/>
    <s v="P1018"/>
    <x v="18"/>
    <x v="1"/>
    <n v="3"/>
    <n v="719"/>
    <n v="2157"/>
    <x v="497"/>
    <x v="1"/>
    <x v="0"/>
    <x v="2"/>
  </r>
  <r>
    <s v="ORD00500"/>
    <x v="10"/>
    <s v="C0064"/>
    <x v="11"/>
    <x v="12"/>
    <x v="3"/>
    <s v="P1009"/>
    <x v="5"/>
    <x v="3"/>
    <n v="5"/>
    <n v="359"/>
    <n v="1525.75"/>
    <x v="498"/>
    <x v="1"/>
    <x v="0"/>
    <x v="2"/>
  </r>
  <r>
    <s v="ORD00501"/>
    <x v="170"/>
    <s v="C0124"/>
    <x v="75"/>
    <x v="10"/>
    <x v="6"/>
    <s v="P1016"/>
    <x v="10"/>
    <x v="6"/>
    <n v="2"/>
    <n v="1049"/>
    <n v="1678.4"/>
    <x v="499"/>
    <x v="0"/>
    <x v="0"/>
    <x v="2"/>
  </r>
  <r>
    <s v="ORD00502"/>
    <x v="267"/>
    <s v="C0090"/>
    <x v="75"/>
    <x v="6"/>
    <x v="4"/>
    <s v="P1014"/>
    <x v="8"/>
    <x v="4"/>
    <n v="2"/>
    <n v="6499"/>
    <n v="10398.4"/>
    <x v="500"/>
    <x v="0"/>
    <x v="2"/>
    <x v="0"/>
  </r>
  <r>
    <s v="ORD00503"/>
    <x v="119"/>
    <s v="C0098"/>
    <x v="13"/>
    <x v="1"/>
    <x v="1"/>
    <s v="P1010"/>
    <x v="7"/>
    <x v="3"/>
    <n v="1"/>
    <n v="3299"/>
    <n v="2804.15"/>
    <x v="501"/>
    <x v="2"/>
    <x v="0"/>
    <x v="2"/>
  </r>
  <r>
    <s v="ORD00504"/>
    <x v="130"/>
    <s v="C0013"/>
    <x v="33"/>
    <x v="13"/>
    <x v="8"/>
    <s v="P1015"/>
    <x v="4"/>
    <x v="4"/>
    <n v="2"/>
    <n v="7999"/>
    <n v="14398.2"/>
    <x v="502"/>
    <x v="4"/>
    <x v="0"/>
    <x v="0"/>
  </r>
  <r>
    <s v="ORD00505"/>
    <x v="268"/>
    <s v="C0122"/>
    <x v="39"/>
    <x v="1"/>
    <x v="1"/>
    <s v="P1018"/>
    <x v="18"/>
    <x v="1"/>
    <n v="7"/>
    <n v="799"/>
    <n v="5593"/>
    <x v="503"/>
    <x v="4"/>
    <x v="3"/>
    <x v="1"/>
  </r>
  <r>
    <s v="ORD00506"/>
    <x v="30"/>
    <s v="C0124"/>
    <x v="75"/>
    <x v="7"/>
    <x v="5"/>
    <s v="P1007"/>
    <x v="13"/>
    <x v="2"/>
    <n v="8"/>
    <n v="2299"/>
    <n v="14713.6"/>
    <x v="504"/>
    <x v="0"/>
    <x v="0"/>
    <x v="0"/>
  </r>
  <r>
    <s v="ORD00507"/>
    <x v="269"/>
    <s v="C0064"/>
    <x v="11"/>
    <x v="12"/>
    <x v="3"/>
    <s v="P1003"/>
    <x v="15"/>
    <x v="0"/>
    <n v="5"/>
    <n v="1799"/>
    <n v="8545.25"/>
    <x v="505"/>
    <x v="0"/>
    <x v="0"/>
    <x v="1"/>
  </r>
  <r>
    <s v="ORD00508"/>
    <x v="12"/>
    <s v="C0109"/>
    <x v="0"/>
    <x v="17"/>
    <x v="7"/>
    <s v="P1012"/>
    <x v="9"/>
    <x v="5"/>
    <n v="4"/>
    <n v="249"/>
    <n v="946.2"/>
    <x v="506"/>
    <x v="3"/>
    <x v="3"/>
    <x v="2"/>
  </r>
  <r>
    <s v="ORD00509"/>
    <x v="88"/>
    <s v="C0158"/>
    <x v="81"/>
    <x v="15"/>
    <x v="9"/>
    <s v="P1020"/>
    <x v="12"/>
    <x v="3"/>
    <n v="3"/>
    <n v="549"/>
    <n v="1647"/>
    <x v="507"/>
    <x v="1"/>
    <x v="0"/>
    <x v="2"/>
  </r>
  <r>
    <s v="ORD00510"/>
    <x v="270"/>
    <s v="C0022"/>
    <x v="44"/>
    <x v="9"/>
    <x v="1"/>
    <s v="P1002"/>
    <x v="14"/>
    <x v="0"/>
    <n v="4"/>
    <n v="2624"/>
    <n v="10496"/>
    <x v="508"/>
    <x v="2"/>
    <x v="0"/>
    <x v="0"/>
  </r>
  <r>
    <s v="ORD00511"/>
    <x v="137"/>
    <s v="C0079"/>
    <x v="101"/>
    <x v="15"/>
    <x v="9"/>
    <s v="P1016"/>
    <x v="10"/>
    <x v="6"/>
    <n v="1"/>
    <n v="999"/>
    <n v="999"/>
    <x v="509"/>
    <x v="1"/>
    <x v="0"/>
    <x v="2"/>
  </r>
  <r>
    <s v="ORD00512"/>
    <x v="188"/>
    <s v="C0141"/>
    <x v="8"/>
    <x v="0"/>
    <x v="0"/>
    <s v="P1020"/>
    <x v="12"/>
    <x v="3"/>
    <n v="3"/>
    <n v="604"/>
    <n v="1449.6"/>
    <x v="510"/>
    <x v="4"/>
    <x v="0"/>
    <x v="2"/>
  </r>
  <r>
    <s v="ORD00513"/>
    <x v="116"/>
    <s v="C0012"/>
    <x v="21"/>
    <x v="5"/>
    <x v="3"/>
    <s v="P1006"/>
    <x v="16"/>
    <x v="2"/>
    <n v="1"/>
    <n v="699"/>
    <n v="699"/>
    <x v="511"/>
    <x v="0"/>
    <x v="0"/>
    <x v="2"/>
  </r>
  <r>
    <s v="ORD00514"/>
    <x v="120"/>
    <s v="C0003"/>
    <x v="99"/>
    <x v="2"/>
    <x v="1"/>
    <s v="P1013"/>
    <x v="19"/>
    <x v="5"/>
    <n v="5"/>
    <n v="164"/>
    <n v="656"/>
    <x v="512"/>
    <x v="3"/>
    <x v="0"/>
    <x v="2"/>
  </r>
  <r>
    <s v="ORD00515"/>
    <x v="63"/>
    <s v="C0060"/>
    <x v="79"/>
    <x v="13"/>
    <x v="8"/>
    <s v="P1017"/>
    <x v="17"/>
    <x v="6"/>
    <n v="2"/>
    <n v="1899"/>
    <n v="3418.2"/>
    <x v="513"/>
    <x v="0"/>
    <x v="0"/>
    <x v="2"/>
  </r>
  <r>
    <s v="ORD00516"/>
    <x v="51"/>
    <s v="C0118"/>
    <x v="92"/>
    <x v="7"/>
    <x v="5"/>
    <s v="P1001"/>
    <x v="6"/>
    <x v="0"/>
    <n v="1"/>
    <n v="599"/>
    <n v="509.15"/>
    <x v="514"/>
    <x v="4"/>
    <x v="0"/>
    <x v="2"/>
  </r>
  <r>
    <s v="ORD00517"/>
    <x v="261"/>
    <s v="C0089"/>
    <x v="94"/>
    <x v="17"/>
    <x v="7"/>
    <s v="P1012"/>
    <x v="9"/>
    <x v="5"/>
    <n v="5"/>
    <n v="249"/>
    <n v="1058.25"/>
    <x v="515"/>
    <x v="3"/>
    <x v="0"/>
    <x v="2"/>
  </r>
  <r>
    <s v="ORD00518"/>
    <x v="82"/>
    <s v="C0143"/>
    <x v="70"/>
    <x v="5"/>
    <x v="3"/>
    <s v="P1008"/>
    <x v="2"/>
    <x v="2"/>
    <n v="3"/>
    <n v="1299"/>
    <n v="3507.3"/>
    <x v="516"/>
    <x v="3"/>
    <x v="0"/>
    <x v="2"/>
  </r>
  <r>
    <s v="ORD00519"/>
    <x v="93"/>
    <s v="C0157"/>
    <x v="90"/>
    <x v="12"/>
    <x v="3"/>
    <s v="P1014"/>
    <x v="8"/>
    <x v="4"/>
    <n v="4"/>
    <n v="6824"/>
    <n v="27296"/>
    <x v="517"/>
    <x v="2"/>
    <x v="2"/>
    <x v="0"/>
  </r>
  <r>
    <s v="ORD00520"/>
    <x v="109"/>
    <s v="C0139"/>
    <x v="47"/>
    <x v="8"/>
    <x v="6"/>
    <s v="P1007"/>
    <x v="13"/>
    <x v="2"/>
    <n v="3"/>
    <n v="2414"/>
    <n v="6155.7"/>
    <x v="518"/>
    <x v="1"/>
    <x v="2"/>
    <x v="1"/>
  </r>
  <r>
    <s v="ORD00521"/>
    <x v="204"/>
    <s v="C0135"/>
    <x v="53"/>
    <x v="8"/>
    <x v="6"/>
    <s v="P1014"/>
    <x v="8"/>
    <x v="4"/>
    <n v="3"/>
    <n v="7149"/>
    <n v="18229.95"/>
    <x v="519"/>
    <x v="2"/>
    <x v="0"/>
    <x v="0"/>
  </r>
  <r>
    <s v="ORD00522"/>
    <x v="125"/>
    <s v="C0048"/>
    <x v="20"/>
    <x v="11"/>
    <x v="7"/>
    <s v="P1005"/>
    <x v="0"/>
    <x v="0"/>
    <n v="1"/>
    <n v="3999"/>
    <n v="3599.1"/>
    <x v="520"/>
    <x v="2"/>
    <x v="0"/>
    <x v="2"/>
  </r>
  <r>
    <s v="ORD00523"/>
    <x v="26"/>
    <s v="C0039"/>
    <x v="52"/>
    <x v="16"/>
    <x v="6"/>
    <s v="P1004"/>
    <x v="11"/>
    <x v="0"/>
    <n v="3"/>
    <n v="1499"/>
    <n v="4497"/>
    <x v="521"/>
    <x v="0"/>
    <x v="0"/>
    <x v="2"/>
  </r>
  <r>
    <s v="ORD00524"/>
    <x v="271"/>
    <s v="C0157"/>
    <x v="90"/>
    <x v="12"/>
    <x v="3"/>
    <s v="P1020"/>
    <x v="12"/>
    <x v="3"/>
    <n v="4"/>
    <n v="549"/>
    <n v="1756.8"/>
    <x v="522"/>
    <x v="3"/>
    <x v="0"/>
    <x v="2"/>
  </r>
  <r>
    <s v="ORD00525"/>
    <x v="118"/>
    <s v="C0129"/>
    <x v="107"/>
    <x v="0"/>
    <x v="0"/>
    <s v="P1012"/>
    <x v="9"/>
    <x v="5"/>
    <n v="3"/>
    <n v="249"/>
    <n v="672.3"/>
    <x v="523"/>
    <x v="1"/>
    <x v="0"/>
    <x v="2"/>
  </r>
  <r>
    <s v="ORD00526"/>
    <x v="245"/>
    <s v="C0004"/>
    <x v="42"/>
    <x v="5"/>
    <x v="3"/>
    <s v="P1014"/>
    <x v="8"/>
    <x v="4"/>
    <n v="4"/>
    <n v="7149"/>
    <n v="22876.799999999999"/>
    <x v="524"/>
    <x v="1"/>
    <x v="0"/>
    <x v="0"/>
  </r>
  <r>
    <s v="ORD00527"/>
    <x v="196"/>
    <s v="C0126"/>
    <x v="95"/>
    <x v="11"/>
    <x v="7"/>
    <s v="P1015"/>
    <x v="4"/>
    <x v="4"/>
    <n v="4"/>
    <n v="7999"/>
    <n v="28796.400000000001"/>
    <x v="525"/>
    <x v="0"/>
    <x v="0"/>
    <x v="0"/>
  </r>
  <r>
    <s v="ORD00528"/>
    <x v="1"/>
    <s v="C0101"/>
    <x v="138"/>
    <x v="7"/>
    <x v="5"/>
    <s v="P1017"/>
    <x v="17"/>
    <x v="6"/>
    <n v="1"/>
    <n v="1994"/>
    <n v="1994"/>
    <x v="526"/>
    <x v="3"/>
    <x v="2"/>
    <x v="2"/>
  </r>
  <r>
    <s v="ORD00529"/>
    <x v="239"/>
    <s v="C0138"/>
    <x v="100"/>
    <x v="13"/>
    <x v="8"/>
    <s v="P1002"/>
    <x v="14"/>
    <x v="0"/>
    <n v="7"/>
    <n v="2624"/>
    <n v="14694.4"/>
    <x v="527"/>
    <x v="1"/>
    <x v="0"/>
    <x v="0"/>
  </r>
  <r>
    <s v="ORD00530"/>
    <x v="46"/>
    <s v="C0074"/>
    <x v="15"/>
    <x v="15"/>
    <x v="9"/>
    <s v="P1006"/>
    <x v="16"/>
    <x v="2"/>
    <n v="7"/>
    <n v="699"/>
    <n v="4159.05"/>
    <x v="528"/>
    <x v="0"/>
    <x v="2"/>
    <x v="2"/>
  </r>
  <r>
    <s v="ORD00531"/>
    <x v="152"/>
    <s v="C0116"/>
    <x v="68"/>
    <x v="2"/>
    <x v="1"/>
    <s v="P1017"/>
    <x v="17"/>
    <x v="6"/>
    <n v="2"/>
    <n v="1899"/>
    <n v="3228.3"/>
    <x v="529"/>
    <x v="0"/>
    <x v="0"/>
    <x v="2"/>
  </r>
  <r>
    <s v="ORD00532"/>
    <x v="147"/>
    <s v="C0116"/>
    <x v="68"/>
    <x v="14"/>
    <x v="1"/>
    <s v="P1006"/>
    <x v="16"/>
    <x v="2"/>
    <n v="8"/>
    <n v="734"/>
    <n v="4697.6000000000004"/>
    <x v="530"/>
    <x v="4"/>
    <x v="0"/>
    <x v="2"/>
  </r>
  <r>
    <s v="ORD00533"/>
    <x v="272"/>
    <s v="C0167"/>
    <x v="12"/>
    <x v="10"/>
    <x v="6"/>
    <s v="P1004"/>
    <x v="11"/>
    <x v="0"/>
    <n v="2"/>
    <n v="1349"/>
    <n v="2158.4"/>
    <x v="531"/>
    <x v="2"/>
    <x v="0"/>
    <x v="2"/>
  </r>
  <r>
    <s v="ORD00534"/>
    <x v="22"/>
    <s v="C0131"/>
    <x v="54"/>
    <x v="10"/>
    <x v="6"/>
    <s v="P1013"/>
    <x v="19"/>
    <x v="5"/>
    <n v="7"/>
    <n v="134"/>
    <n v="938"/>
    <x v="532"/>
    <x v="0"/>
    <x v="2"/>
    <x v="2"/>
  </r>
  <r>
    <s v="ORD00535"/>
    <x v="146"/>
    <s v="C0038"/>
    <x v="135"/>
    <x v="10"/>
    <x v="6"/>
    <s v="P1002"/>
    <x v="14"/>
    <x v="0"/>
    <n v="7"/>
    <n v="2499"/>
    <n v="16618.349999999999"/>
    <x v="533"/>
    <x v="4"/>
    <x v="0"/>
    <x v="0"/>
  </r>
  <r>
    <s v="ORD00536"/>
    <x v="125"/>
    <s v="C0034"/>
    <x v="69"/>
    <x v="16"/>
    <x v="6"/>
    <s v="P1001"/>
    <x v="6"/>
    <x v="0"/>
    <n v="5"/>
    <n v="539"/>
    <n v="2425.5"/>
    <x v="534"/>
    <x v="4"/>
    <x v="0"/>
    <x v="2"/>
  </r>
  <r>
    <s v="ORD00537"/>
    <x v="123"/>
    <s v="C0127"/>
    <x v="22"/>
    <x v="12"/>
    <x v="3"/>
    <s v="P1007"/>
    <x v="13"/>
    <x v="2"/>
    <n v="8"/>
    <n v="2299"/>
    <n v="16552.8"/>
    <x v="535"/>
    <x v="0"/>
    <x v="0"/>
    <x v="0"/>
  </r>
  <r>
    <s v="ORD00538"/>
    <x v="226"/>
    <s v="C0072"/>
    <x v="93"/>
    <x v="7"/>
    <x v="5"/>
    <s v="P1007"/>
    <x v="13"/>
    <x v="2"/>
    <n v="1"/>
    <n v="2299"/>
    <n v="2299"/>
    <x v="536"/>
    <x v="2"/>
    <x v="0"/>
    <x v="2"/>
  </r>
  <r>
    <s v="ORD00539"/>
    <x v="24"/>
    <s v="C0148"/>
    <x v="62"/>
    <x v="4"/>
    <x v="2"/>
    <s v="P1011"/>
    <x v="3"/>
    <x v="3"/>
    <n v="2"/>
    <n v="809"/>
    <n v="1618"/>
    <x v="537"/>
    <x v="1"/>
    <x v="0"/>
    <x v="2"/>
  </r>
  <r>
    <s v="ORD00540"/>
    <x v="273"/>
    <s v="C0170"/>
    <x v="0"/>
    <x v="7"/>
    <x v="5"/>
    <s v="P1006"/>
    <x v="16"/>
    <x v="2"/>
    <n v="8"/>
    <n v="769"/>
    <n v="5229.2"/>
    <x v="538"/>
    <x v="3"/>
    <x v="0"/>
    <x v="1"/>
  </r>
  <r>
    <s v="ORD00541"/>
    <x v="147"/>
    <s v="C0095"/>
    <x v="105"/>
    <x v="13"/>
    <x v="8"/>
    <s v="P1003"/>
    <x v="15"/>
    <x v="0"/>
    <n v="7"/>
    <n v="1889"/>
    <n v="13223"/>
    <x v="539"/>
    <x v="1"/>
    <x v="0"/>
    <x v="0"/>
  </r>
  <r>
    <s v="ORD00542"/>
    <x v="236"/>
    <s v="C0135"/>
    <x v="53"/>
    <x v="6"/>
    <x v="4"/>
    <s v="P1017"/>
    <x v="17"/>
    <x v="6"/>
    <n v="4"/>
    <n v="2089"/>
    <n v="8356"/>
    <x v="540"/>
    <x v="3"/>
    <x v="0"/>
    <x v="1"/>
  </r>
  <r>
    <s v="ORD00543"/>
    <x v="114"/>
    <s v="C0023"/>
    <x v="129"/>
    <x v="0"/>
    <x v="0"/>
    <s v="P1020"/>
    <x v="12"/>
    <x v="3"/>
    <n v="5"/>
    <n v="549"/>
    <n v="2333.25"/>
    <x v="541"/>
    <x v="2"/>
    <x v="0"/>
    <x v="2"/>
  </r>
  <r>
    <s v="ORD00544"/>
    <x v="168"/>
    <s v="C0034"/>
    <x v="69"/>
    <x v="0"/>
    <x v="0"/>
    <s v="P1017"/>
    <x v="17"/>
    <x v="6"/>
    <n v="8"/>
    <n v="1899"/>
    <n v="15192"/>
    <x v="542"/>
    <x v="1"/>
    <x v="0"/>
    <x v="0"/>
  </r>
  <r>
    <s v="ORD00545"/>
    <x v="206"/>
    <s v="C0031"/>
    <x v="50"/>
    <x v="14"/>
    <x v="1"/>
    <s v="P1015"/>
    <x v="4"/>
    <x v="4"/>
    <n v="2"/>
    <n v="8799"/>
    <n v="17598"/>
    <x v="543"/>
    <x v="4"/>
    <x v="0"/>
    <x v="0"/>
  </r>
  <r>
    <s v="ORD00546"/>
    <x v="88"/>
    <s v="C0144"/>
    <x v="62"/>
    <x v="16"/>
    <x v="6"/>
    <s v="P1001"/>
    <x v="6"/>
    <x v="0"/>
    <n v="4"/>
    <n v="659"/>
    <n v="2504.1999999999998"/>
    <x v="544"/>
    <x v="3"/>
    <x v="0"/>
    <x v="2"/>
  </r>
  <r>
    <s v="ORD00547"/>
    <x v="274"/>
    <s v="C0083"/>
    <x v="126"/>
    <x v="14"/>
    <x v="1"/>
    <s v="P1004"/>
    <x v="11"/>
    <x v="0"/>
    <n v="6"/>
    <n v="1499"/>
    <n v="8094.6"/>
    <x v="545"/>
    <x v="0"/>
    <x v="1"/>
    <x v="1"/>
  </r>
  <r>
    <s v="ORD00548"/>
    <x v="275"/>
    <s v="C0085"/>
    <x v="83"/>
    <x v="11"/>
    <x v="7"/>
    <s v="P1016"/>
    <x v="10"/>
    <x v="6"/>
    <n v="8"/>
    <n v="899"/>
    <n v="5753.6"/>
    <x v="546"/>
    <x v="1"/>
    <x v="0"/>
    <x v="1"/>
  </r>
  <r>
    <s v="ORD00549"/>
    <x v="267"/>
    <s v="C0119"/>
    <x v="30"/>
    <x v="6"/>
    <x v="4"/>
    <s v="P1002"/>
    <x v="14"/>
    <x v="0"/>
    <n v="5"/>
    <n v="2624"/>
    <n v="10496"/>
    <x v="547"/>
    <x v="0"/>
    <x v="0"/>
    <x v="0"/>
  </r>
  <r>
    <s v="ORD00550"/>
    <x v="131"/>
    <s v="C0176"/>
    <x v="133"/>
    <x v="11"/>
    <x v="7"/>
    <s v="P1012"/>
    <x v="9"/>
    <x v="5"/>
    <n v="2"/>
    <n v="249"/>
    <n v="473.1"/>
    <x v="548"/>
    <x v="2"/>
    <x v="1"/>
    <x v="2"/>
  </r>
  <r>
    <s v="ORD00551"/>
    <x v="215"/>
    <s v="C0043"/>
    <x v="29"/>
    <x v="13"/>
    <x v="8"/>
    <s v="P1006"/>
    <x v="16"/>
    <x v="2"/>
    <n v="2"/>
    <n v="699"/>
    <n v="1118.4000000000001"/>
    <x v="549"/>
    <x v="3"/>
    <x v="0"/>
    <x v="2"/>
  </r>
  <r>
    <s v="ORD00552"/>
    <x v="68"/>
    <s v="C0061"/>
    <x v="125"/>
    <x v="17"/>
    <x v="7"/>
    <s v="P1015"/>
    <x v="4"/>
    <x v="4"/>
    <n v="5"/>
    <n v="7999"/>
    <n v="33995.75"/>
    <x v="550"/>
    <x v="3"/>
    <x v="0"/>
    <x v="0"/>
  </r>
  <r>
    <s v="ORD00553"/>
    <x v="202"/>
    <s v="C0024"/>
    <x v="8"/>
    <x v="15"/>
    <x v="9"/>
    <s v="P1017"/>
    <x v="17"/>
    <x v="6"/>
    <n v="1"/>
    <n v="1899"/>
    <n v="1614.15"/>
    <x v="551"/>
    <x v="2"/>
    <x v="2"/>
    <x v="2"/>
  </r>
  <r>
    <s v="ORD00554"/>
    <x v="269"/>
    <s v="C0080"/>
    <x v="74"/>
    <x v="11"/>
    <x v="7"/>
    <s v="P1005"/>
    <x v="0"/>
    <x v="0"/>
    <n v="2"/>
    <n v="4199"/>
    <n v="6718.4"/>
    <x v="552"/>
    <x v="1"/>
    <x v="0"/>
    <x v="1"/>
  </r>
  <r>
    <s v="ORD00555"/>
    <x v="157"/>
    <s v="C0134"/>
    <x v="136"/>
    <x v="9"/>
    <x v="1"/>
    <s v="P1001"/>
    <x v="6"/>
    <x v="0"/>
    <n v="5"/>
    <n v="539"/>
    <n v="2156"/>
    <x v="553"/>
    <x v="3"/>
    <x v="0"/>
    <x v="2"/>
  </r>
  <r>
    <s v="ORD00556"/>
    <x v="44"/>
    <s v="C0134"/>
    <x v="136"/>
    <x v="4"/>
    <x v="2"/>
    <s v="P1001"/>
    <x v="6"/>
    <x v="0"/>
    <n v="5"/>
    <n v="659"/>
    <n v="3295"/>
    <x v="554"/>
    <x v="1"/>
    <x v="0"/>
    <x v="2"/>
  </r>
  <r>
    <s v="ORD00557"/>
    <x v="276"/>
    <s v="C0113"/>
    <x v="26"/>
    <x v="9"/>
    <x v="1"/>
    <s v="P1009"/>
    <x v="5"/>
    <x v="3"/>
    <n v="3"/>
    <n v="399"/>
    <n v="1137.1500000000001"/>
    <x v="555"/>
    <x v="0"/>
    <x v="0"/>
    <x v="2"/>
  </r>
  <r>
    <s v="ORD00558"/>
    <x v="277"/>
    <s v="C0139"/>
    <x v="47"/>
    <x v="17"/>
    <x v="7"/>
    <s v="P1018"/>
    <x v="18"/>
    <x v="1"/>
    <n v="6"/>
    <n v="799"/>
    <n v="4794"/>
    <x v="556"/>
    <x v="2"/>
    <x v="0"/>
    <x v="2"/>
  </r>
  <r>
    <s v="ORD00559"/>
    <x v="183"/>
    <s v="C0080"/>
    <x v="74"/>
    <x v="11"/>
    <x v="7"/>
    <s v="P1018"/>
    <x v="18"/>
    <x v="1"/>
    <n v="8"/>
    <n v="719"/>
    <n v="5752"/>
    <x v="557"/>
    <x v="3"/>
    <x v="0"/>
    <x v="1"/>
  </r>
  <r>
    <s v="ORD00560"/>
    <x v="233"/>
    <s v="C0110"/>
    <x v="9"/>
    <x v="13"/>
    <x v="8"/>
    <s v="P1006"/>
    <x v="16"/>
    <x v="2"/>
    <n v="8"/>
    <n v="734"/>
    <n v="5578.4"/>
    <x v="558"/>
    <x v="1"/>
    <x v="0"/>
    <x v="1"/>
  </r>
  <r>
    <s v="ORD00561"/>
    <x v="215"/>
    <s v="C0021"/>
    <x v="116"/>
    <x v="15"/>
    <x v="9"/>
    <s v="P1019"/>
    <x v="1"/>
    <x v="1"/>
    <n v="3"/>
    <n v="1439"/>
    <n v="3453.6"/>
    <x v="559"/>
    <x v="4"/>
    <x v="0"/>
    <x v="2"/>
  </r>
  <r>
    <s v="ORD00562"/>
    <x v="227"/>
    <s v="C0120"/>
    <x v="88"/>
    <x v="0"/>
    <x v="0"/>
    <s v="P1008"/>
    <x v="2"/>
    <x v="2"/>
    <n v="4"/>
    <n v="1299"/>
    <n v="4416.6000000000004"/>
    <x v="560"/>
    <x v="2"/>
    <x v="0"/>
    <x v="2"/>
  </r>
  <r>
    <s v="ORD00563"/>
    <x v="86"/>
    <s v="C0085"/>
    <x v="83"/>
    <x v="11"/>
    <x v="7"/>
    <s v="P1015"/>
    <x v="4"/>
    <x v="4"/>
    <n v="8"/>
    <n v="7199"/>
    <n v="57592"/>
    <x v="561"/>
    <x v="2"/>
    <x v="0"/>
    <x v="0"/>
  </r>
  <r>
    <s v="ORD00564"/>
    <x v="110"/>
    <s v="C0090"/>
    <x v="75"/>
    <x v="8"/>
    <x v="6"/>
    <s v="P1017"/>
    <x v="17"/>
    <x v="6"/>
    <n v="2"/>
    <n v="1899"/>
    <n v="3038.4"/>
    <x v="562"/>
    <x v="2"/>
    <x v="0"/>
    <x v="2"/>
  </r>
  <r>
    <s v="ORD00565"/>
    <x v="94"/>
    <s v="C0137"/>
    <x v="41"/>
    <x v="15"/>
    <x v="9"/>
    <s v="P1013"/>
    <x v="19"/>
    <x v="5"/>
    <n v="7"/>
    <n v="149"/>
    <n v="886.55"/>
    <x v="563"/>
    <x v="1"/>
    <x v="1"/>
    <x v="2"/>
  </r>
  <r>
    <s v="ORD00566"/>
    <x v="278"/>
    <s v="C0088"/>
    <x v="51"/>
    <x v="16"/>
    <x v="6"/>
    <s v="P1019"/>
    <x v="1"/>
    <x v="1"/>
    <n v="7"/>
    <n v="1599"/>
    <n v="9514.0499999999993"/>
    <x v="564"/>
    <x v="0"/>
    <x v="0"/>
    <x v="1"/>
  </r>
  <r>
    <s v="ORD00567"/>
    <x v="279"/>
    <s v="C0172"/>
    <x v="17"/>
    <x v="2"/>
    <x v="1"/>
    <s v="P1019"/>
    <x v="1"/>
    <x v="1"/>
    <n v="8"/>
    <n v="1439"/>
    <n v="9785.2000000000007"/>
    <x v="565"/>
    <x v="2"/>
    <x v="0"/>
    <x v="1"/>
  </r>
  <r>
    <s v="ORD00568"/>
    <x v="23"/>
    <s v="C0079"/>
    <x v="101"/>
    <x v="13"/>
    <x v="8"/>
    <s v="P1003"/>
    <x v="15"/>
    <x v="0"/>
    <n v="2"/>
    <n v="1979"/>
    <n v="3364.3"/>
    <x v="566"/>
    <x v="4"/>
    <x v="0"/>
    <x v="2"/>
  </r>
  <r>
    <s v="ORD00569"/>
    <x v="280"/>
    <s v="C0016"/>
    <x v="57"/>
    <x v="2"/>
    <x v="1"/>
    <s v="P1007"/>
    <x v="13"/>
    <x v="2"/>
    <n v="3"/>
    <n v="2414"/>
    <n v="5793.6"/>
    <x v="567"/>
    <x v="1"/>
    <x v="0"/>
    <x v="1"/>
  </r>
  <r>
    <s v="ORD00570"/>
    <x v="95"/>
    <s v="C0075"/>
    <x v="130"/>
    <x v="13"/>
    <x v="8"/>
    <s v="P1020"/>
    <x v="12"/>
    <x v="3"/>
    <n v="8"/>
    <n v="549"/>
    <n v="4392"/>
    <x v="568"/>
    <x v="2"/>
    <x v="0"/>
    <x v="2"/>
  </r>
  <r>
    <s v="ORD00571"/>
    <x v="46"/>
    <s v="C0112"/>
    <x v="16"/>
    <x v="17"/>
    <x v="7"/>
    <s v="P1003"/>
    <x v="15"/>
    <x v="0"/>
    <n v="1"/>
    <n v="1889"/>
    <n v="1605.65"/>
    <x v="569"/>
    <x v="1"/>
    <x v="3"/>
    <x v="2"/>
  </r>
  <r>
    <s v="ORD00572"/>
    <x v="281"/>
    <s v="C0141"/>
    <x v="8"/>
    <x v="1"/>
    <x v="1"/>
    <s v="P1001"/>
    <x v="6"/>
    <x v="0"/>
    <n v="6"/>
    <n v="539"/>
    <n v="3072.3"/>
    <x v="570"/>
    <x v="1"/>
    <x v="0"/>
    <x v="2"/>
  </r>
  <r>
    <s v="ORD00573"/>
    <x v="193"/>
    <s v="C0161"/>
    <x v="45"/>
    <x v="11"/>
    <x v="7"/>
    <s v="P1013"/>
    <x v="19"/>
    <x v="5"/>
    <n v="7"/>
    <n v="149"/>
    <n v="938.7"/>
    <x v="571"/>
    <x v="1"/>
    <x v="0"/>
    <x v="2"/>
  </r>
  <r>
    <s v="ORD00574"/>
    <x v="0"/>
    <s v="C0099"/>
    <x v="27"/>
    <x v="17"/>
    <x v="7"/>
    <s v="P1014"/>
    <x v="8"/>
    <x v="4"/>
    <n v="3"/>
    <n v="6499"/>
    <n v="15597.6"/>
    <x v="572"/>
    <x v="3"/>
    <x v="0"/>
    <x v="0"/>
  </r>
  <r>
    <s v="ORD00575"/>
    <x v="136"/>
    <s v="C0125"/>
    <x v="123"/>
    <x v="6"/>
    <x v="4"/>
    <s v="P1005"/>
    <x v="0"/>
    <x v="0"/>
    <n v="2"/>
    <n v="3999"/>
    <n v="6398.4"/>
    <x v="573"/>
    <x v="4"/>
    <x v="2"/>
    <x v="1"/>
  </r>
  <r>
    <s v="ORD00576"/>
    <x v="282"/>
    <s v="C0109"/>
    <x v="0"/>
    <x v="10"/>
    <x v="6"/>
    <s v="P1015"/>
    <x v="4"/>
    <x v="4"/>
    <n v="7"/>
    <n v="8399"/>
    <n v="52913.7"/>
    <x v="574"/>
    <x v="1"/>
    <x v="0"/>
    <x v="0"/>
  </r>
  <r>
    <s v="ORD00577"/>
    <x v="90"/>
    <s v="C0148"/>
    <x v="62"/>
    <x v="0"/>
    <x v="0"/>
    <s v="P1008"/>
    <x v="2"/>
    <x v="2"/>
    <n v="5"/>
    <n v="1299"/>
    <n v="5520.75"/>
    <x v="575"/>
    <x v="3"/>
    <x v="1"/>
    <x v="1"/>
  </r>
  <r>
    <s v="ORD00578"/>
    <x v="43"/>
    <s v="C0095"/>
    <x v="105"/>
    <x v="9"/>
    <x v="1"/>
    <s v="P1019"/>
    <x v="1"/>
    <x v="1"/>
    <n v="8"/>
    <n v="1759"/>
    <n v="14072"/>
    <x v="576"/>
    <x v="0"/>
    <x v="1"/>
    <x v="0"/>
  </r>
  <r>
    <s v="ORD00579"/>
    <x v="190"/>
    <s v="C0133"/>
    <x v="113"/>
    <x v="2"/>
    <x v="1"/>
    <s v="P1017"/>
    <x v="17"/>
    <x v="6"/>
    <n v="2"/>
    <n v="1899"/>
    <n v="3418.2"/>
    <x v="577"/>
    <x v="3"/>
    <x v="0"/>
    <x v="2"/>
  </r>
  <r>
    <s v="ORD00580"/>
    <x v="19"/>
    <s v="C0080"/>
    <x v="74"/>
    <x v="1"/>
    <x v="1"/>
    <s v="P1011"/>
    <x v="3"/>
    <x v="3"/>
    <n v="1"/>
    <n v="899"/>
    <n v="809.1"/>
    <x v="578"/>
    <x v="4"/>
    <x v="0"/>
    <x v="2"/>
  </r>
  <r>
    <s v="ORD00581"/>
    <x v="28"/>
    <s v="C0091"/>
    <x v="34"/>
    <x v="4"/>
    <x v="2"/>
    <s v="P1010"/>
    <x v="7"/>
    <x v="3"/>
    <n v="3"/>
    <n v="2969"/>
    <n v="7125.6"/>
    <x v="579"/>
    <x v="2"/>
    <x v="0"/>
    <x v="1"/>
  </r>
  <r>
    <s v="ORD00582"/>
    <x v="283"/>
    <s v="C0016"/>
    <x v="57"/>
    <x v="0"/>
    <x v="0"/>
    <s v="P1019"/>
    <x v="1"/>
    <x v="1"/>
    <n v="3"/>
    <n v="1679"/>
    <n v="5037"/>
    <x v="580"/>
    <x v="2"/>
    <x v="3"/>
    <x v="1"/>
  </r>
  <r>
    <s v="ORD00583"/>
    <x v="171"/>
    <s v="C0074"/>
    <x v="15"/>
    <x v="0"/>
    <x v="0"/>
    <s v="P1003"/>
    <x v="15"/>
    <x v="0"/>
    <n v="3"/>
    <n v="1889"/>
    <n v="5667"/>
    <x v="581"/>
    <x v="2"/>
    <x v="0"/>
    <x v="1"/>
  </r>
  <r>
    <s v="ORD00584"/>
    <x v="284"/>
    <s v="C0071"/>
    <x v="38"/>
    <x v="5"/>
    <x v="3"/>
    <s v="P1001"/>
    <x v="6"/>
    <x v="0"/>
    <n v="2"/>
    <n v="629"/>
    <n v="1258"/>
    <x v="582"/>
    <x v="1"/>
    <x v="0"/>
    <x v="2"/>
  </r>
  <r>
    <s v="ORD00585"/>
    <x v="80"/>
    <s v="C0067"/>
    <x v="127"/>
    <x v="12"/>
    <x v="3"/>
    <s v="P1016"/>
    <x v="10"/>
    <x v="6"/>
    <n v="3"/>
    <n v="1049"/>
    <n v="3147"/>
    <x v="583"/>
    <x v="3"/>
    <x v="1"/>
    <x v="2"/>
  </r>
  <r>
    <s v="ORD00586"/>
    <x v="130"/>
    <s v="C0127"/>
    <x v="22"/>
    <x v="6"/>
    <x v="4"/>
    <s v="P1013"/>
    <x v="19"/>
    <x v="5"/>
    <n v="4"/>
    <n v="164"/>
    <n v="590.4"/>
    <x v="584"/>
    <x v="1"/>
    <x v="0"/>
    <x v="2"/>
  </r>
  <r>
    <s v="ORD00587"/>
    <x v="129"/>
    <s v="C0014"/>
    <x v="104"/>
    <x v="5"/>
    <x v="3"/>
    <s v="P1004"/>
    <x v="11"/>
    <x v="0"/>
    <n v="1"/>
    <n v="1499"/>
    <n v="1349.1"/>
    <x v="585"/>
    <x v="2"/>
    <x v="0"/>
    <x v="2"/>
  </r>
  <r>
    <s v="ORD00588"/>
    <x v="154"/>
    <s v="C0098"/>
    <x v="13"/>
    <x v="13"/>
    <x v="8"/>
    <s v="P1016"/>
    <x v="10"/>
    <x v="6"/>
    <n v="5"/>
    <n v="999"/>
    <n v="4245.75"/>
    <x v="586"/>
    <x v="3"/>
    <x v="0"/>
    <x v="2"/>
  </r>
  <r>
    <s v="ORD00589"/>
    <x v="244"/>
    <s v="C0174"/>
    <x v="19"/>
    <x v="11"/>
    <x v="7"/>
    <s v="P1017"/>
    <x v="17"/>
    <x v="6"/>
    <n v="1"/>
    <n v="1709"/>
    <n v="1452.65"/>
    <x v="587"/>
    <x v="4"/>
    <x v="0"/>
    <x v="2"/>
  </r>
  <r>
    <s v="ORD00590"/>
    <x v="111"/>
    <s v="C0086"/>
    <x v="3"/>
    <x v="5"/>
    <x v="3"/>
    <s v="P1009"/>
    <x v="5"/>
    <x v="3"/>
    <n v="2"/>
    <n v="399"/>
    <n v="638.4"/>
    <x v="588"/>
    <x v="4"/>
    <x v="3"/>
    <x v="2"/>
  </r>
  <r>
    <s v="ORD00591"/>
    <x v="285"/>
    <s v="C0173"/>
    <x v="62"/>
    <x v="16"/>
    <x v="6"/>
    <s v="P1017"/>
    <x v="17"/>
    <x v="6"/>
    <n v="6"/>
    <n v="2089"/>
    <n v="10027.200000000001"/>
    <x v="589"/>
    <x v="2"/>
    <x v="0"/>
    <x v="0"/>
  </r>
  <r>
    <s v="ORD00592"/>
    <x v="163"/>
    <s v="C0018"/>
    <x v="34"/>
    <x v="14"/>
    <x v="1"/>
    <s v="P1014"/>
    <x v="8"/>
    <x v="4"/>
    <n v="2"/>
    <n v="6824"/>
    <n v="13648"/>
    <x v="590"/>
    <x v="2"/>
    <x v="0"/>
    <x v="0"/>
  </r>
  <r>
    <s v="ORD00593"/>
    <x v="79"/>
    <s v="C0050"/>
    <x v="74"/>
    <x v="1"/>
    <x v="1"/>
    <s v="P1001"/>
    <x v="6"/>
    <x v="0"/>
    <n v="2"/>
    <n v="539"/>
    <n v="916.3"/>
    <x v="591"/>
    <x v="1"/>
    <x v="1"/>
    <x v="2"/>
  </r>
  <r>
    <s v="ORD00594"/>
    <x v="57"/>
    <s v="C0031"/>
    <x v="50"/>
    <x v="2"/>
    <x v="1"/>
    <s v="P1020"/>
    <x v="12"/>
    <x v="3"/>
    <n v="3"/>
    <n v="549"/>
    <n v="1317.6"/>
    <x v="592"/>
    <x v="0"/>
    <x v="3"/>
    <x v="2"/>
  </r>
  <r>
    <s v="ORD00595"/>
    <x v="137"/>
    <s v="C0179"/>
    <x v="23"/>
    <x v="10"/>
    <x v="6"/>
    <s v="P1009"/>
    <x v="5"/>
    <x v="3"/>
    <n v="5"/>
    <n v="399"/>
    <n v="1596"/>
    <x v="593"/>
    <x v="4"/>
    <x v="2"/>
    <x v="2"/>
  </r>
  <r>
    <s v="ORD00596"/>
    <x v="286"/>
    <s v="C0178"/>
    <x v="49"/>
    <x v="11"/>
    <x v="7"/>
    <s v="P1009"/>
    <x v="5"/>
    <x v="3"/>
    <n v="3"/>
    <n v="359"/>
    <n v="1023.15"/>
    <x v="594"/>
    <x v="4"/>
    <x v="0"/>
    <x v="2"/>
  </r>
  <r>
    <s v="ORD00597"/>
    <x v="188"/>
    <s v="C0068"/>
    <x v="66"/>
    <x v="10"/>
    <x v="6"/>
    <s v="P1015"/>
    <x v="4"/>
    <x v="4"/>
    <n v="2"/>
    <n v="7999"/>
    <n v="15998"/>
    <x v="595"/>
    <x v="1"/>
    <x v="0"/>
    <x v="0"/>
  </r>
  <r>
    <s v="ORD00598"/>
    <x v="136"/>
    <s v="C0139"/>
    <x v="47"/>
    <x v="6"/>
    <x v="4"/>
    <s v="P1007"/>
    <x v="13"/>
    <x v="2"/>
    <n v="2"/>
    <n v="2299"/>
    <n v="3678.4"/>
    <x v="596"/>
    <x v="3"/>
    <x v="0"/>
    <x v="2"/>
  </r>
  <r>
    <s v="ORD00599"/>
    <x v="79"/>
    <s v="C0115"/>
    <x v="139"/>
    <x v="14"/>
    <x v="1"/>
    <s v="P1016"/>
    <x v="10"/>
    <x v="6"/>
    <n v="3"/>
    <n v="1099"/>
    <n v="2637.6"/>
    <x v="597"/>
    <x v="3"/>
    <x v="0"/>
    <x v="2"/>
  </r>
  <r>
    <s v="ORD00600"/>
    <x v="184"/>
    <s v="C0180"/>
    <x v="58"/>
    <x v="11"/>
    <x v="7"/>
    <s v="P1013"/>
    <x v="19"/>
    <x v="5"/>
    <n v="1"/>
    <n v="156"/>
    <n v="124.8"/>
    <x v="598"/>
    <x v="4"/>
    <x v="0"/>
    <x v="2"/>
  </r>
  <r>
    <s v="ORD00601"/>
    <x v="2"/>
    <s v="C0139"/>
    <x v="47"/>
    <x v="12"/>
    <x v="3"/>
    <s v="P1001"/>
    <x v="6"/>
    <x v="0"/>
    <n v="7"/>
    <n v="659"/>
    <n v="4151.7"/>
    <x v="599"/>
    <x v="0"/>
    <x v="2"/>
    <x v="2"/>
  </r>
  <r>
    <s v="ORD00602"/>
    <x v="214"/>
    <s v="C0175"/>
    <x v="59"/>
    <x v="4"/>
    <x v="2"/>
    <s v="P1013"/>
    <x v="19"/>
    <x v="5"/>
    <n v="1"/>
    <n v="164"/>
    <n v="131.19999999999999"/>
    <x v="600"/>
    <x v="0"/>
    <x v="3"/>
    <x v="2"/>
  </r>
  <r>
    <s v="ORD00603"/>
    <x v="105"/>
    <s v="C0118"/>
    <x v="92"/>
    <x v="4"/>
    <x v="2"/>
    <s v="P1007"/>
    <x v="13"/>
    <x v="2"/>
    <n v="3"/>
    <n v="2414"/>
    <n v="7242"/>
    <x v="601"/>
    <x v="1"/>
    <x v="0"/>
    <x v="1"/>
  </r>
  <r>
    <s v="ORD00604"/>
    <x v="219"/>
    <s v="C0162"/>
    <x v="128"/>
    <x v="17"/>
    <x v="7"/>
    <s v="P1016"/>
    <x v="10"/>
    <x v="6"/>
    <n v="2"/>
    <n v="1099"/>
    <n v="1978.2"/>
    <x v="602"/>
    <x v="1"/>
    <x v="0"/>
    <x v="2"/>
  </r>
  <r>
    <s v="ORD00605"/>
    <x v="38"/>
    <s v="C0062"/>
    <x v="103"/>
    <x v="0"/>
    <x v="0"/>
    <s v="P1013"/>
    <x v="19"/>
    <x v="5"/>
    <n v="2"/>
    <n v="156"/>
    <n v="249.6"/>
    <x v="603"/>
    <x v="0"/>
    <x v="1"/>
    <x v="2"/>
  </r>
  <r>
    <s v="ORD00606"/>
    <x v="117"/>
    <s v="C0010"/>
    <x v="55"/>
    <x v="11"/>
    <x v="7"/>
    <s v="P1002"/>
    <x v="14"/>
    <x v="0"/>
    <n v="6"/>
    <n v="2749"/>
    <n v="16494"/>
    <x v="604"/>
    <x v="1"/>
    <x v="3"/>
    <x v="0"/>
  </r>
  <r>
    <s v="ORD00607"/>
    <x v="287"/>
    <s v="C0118"/>
    <x v="92"/>
    <x v="7"/>
    <x v="5"/>
    <s v="P1005"/>
    <x v="0"/>
    <x v="0"/>
    <n v="4"/>
    <n v="3599"/>
    <n v="14396"/>
    <x v="605"/>
    <x v="4"/>
    <x v="0"/>
    <x v="0"/>
  </r>
  <r>
    <s v="ORD00608"/>
    <x v="175"/>
    <s v="C0012"/>
    <x v="21"/>
    <x v="12"/>
    <x v="3"/>
    <s v="P1005"/>
    <x v="0"/>
    <x v="0"/>
    <n v="1"/>
    <n v="3999"/>
    <n v="3199.2"/>
    <x v="606"/>
    <x v="2"/>
    <x v="3"/>
    <x v="2"/>
  </r>
  <r>
    <s v="ORD00609"/>
    <x v="59"/>
    <s v="C0157"/>
    <x v="90"/>
    <x v="10"/>
    <x v="6"/>
    <s v="P1019"/>
    <x v="1"/>
    <x v="1"/>
    <n v="2"/>
    <n v="1439"/>
    <n v="2878"/>
    <x v="607"/>
    <x v="0"/>
    <x v="0"/>
    <x v="2"/>
  </r>
  <r>
    <s v="ORD00610"/>
    <x v="286"/>
    <s v="C0087"/>
    <x v="37"/>
    <x v="13"/>
    <x v="8"/>
    <s v="P1011"/>
    <x v="3"/>
    <x v="3"/>
    <n v="2"/>
    <n v="989"/>
    <n v="1681.3"/>
    <x v="608"/>
    <x v="2"/>
    <x v="3"/>
    <x v="2"/>
  </r>
  <r>
    <s v="ORD00611"/>
    <x v="288"/>
    <s v="C0152"/>
    <x v="67"/>
    <x v="10"/>
    <x v="6"/>
    <s v="P1011"/>
    <x v="3"/>
    <x v="3"/>
    <n v="2"/>
    <n v="809"/>
    <n v="1537.1"/>
    <x v="609"/>
    <x v="4"/>
    <x v="0"/>
    <x v="2"/>
  </r>
  <r>
    <s v="ORD00612"/>
    <x v="7"/>
    <s v="C0043"/>
    <x v="29"/>
    <x v="15"/>
    <x v="9"/>
    <s v="P1008"/>
    <x v="2"/>
    <x v="2"/>
    <n v="1"/>
    <n v="1299"/>
    <n v="1299"/>
    <x v="610"/>
    <x v="0"/>
    <x v="0"/>
    <x v="2"/>
  </r>
  <r>
    <s v="ORD00613"/>
    <x v="117"/>
    <s v="C0125"/>
    <x v="123"/>
    <x v="2"/>
    <x v="1"/>
    <s v="P1001"/>
    <x v="6"/>
    <x v="0"/>
    <n v="1"/>
    <n v="599"/>
    <n v="599"/>
    <x v="611"/>
    <x v="0"/>
    <x v="2"/>
    <x v="2"/>
  </r>
  <r>
    <s v="ORD00614"/>
    <x v="207"/>
    <s v="C0122"/>
    <x v="39"/>
    <x v="8"/>
    <x v="6"/>
    <s v="P1007"/>
    <x v="13"/>
    <x v="2"/>
    <n v="3"/>
    <n v="2529"/>
    <n v="7207.65"/>
    <x v="612"/>
    <x v="4"/>
    <x v="0"/>
    <x v="1"/>
  </r>
  <r>
    <s v="ORD00615"/>
    <x v="273"/>
    <s v="C0178"/>
    <x v="49"/>
    <x v="1"/>
    <x v="1"/>
    <s v="P1020"/>
    <x v="12"/>
    <x v="3"/>
    <n v="3"/>
    <n v="604"/>
    <n v="1630.8"/>
    <x v="613"/>
    <x v="3"/>
    <x v="0"/>
    <x v="2"/>
  </r>
  <r>
    <s v="ORD00616"/>
    <x v="99"/>
    <s v="C0108"/>
    <x v="31"/>
    <x v="14"/>
    <x v="1"/>
    <s v="P1018"/>
    <x v="18"/>
    <x v="1"/>
    <n v="4"/>
    <n v="799"/>
    <n v="3196"/>
    <x v="614"/>
    <x v="3"/>
    <x v="0"/>
    <x v="2"/>
  </r>
  <r>
    <s v="ORD00617"/>
    <x v="36"/>
    <s v="C0057"/>
    <x v="122"/>
    <x v="15"/>
    <x v="9"/>
    <s v="P1007"/>
    <x v="13"/>
    <x v="2"/>
    <n v="5"/>
    <n v="2069"/>
    <n v="10345"/>
    <x v="615"/>
    <x v="1"/>
    <x v="0"/>
    <x v="0"/>
  </r>
  <r>
    <s v="ORD00618"/>
    <x v="68"/>
    <s v="C0046"/>
    <x v="40"/>
    <x v="10"/>
    <x v="6"/>
    <s v="P1002"/>
    <x v="14"/>
    <x v="0"/>
    <n v="1"/>
    <n v="2749"/>
    <n v="2611.5500000000002"/>
    <x v="616"/>
    <x v="4"/>
    <x v="0"/>
    <x v="2"/>
  </r>
  <r>
    <s v="ORD00619"/>
    <x v="289"/>
    <s v="C0012"/>
    <x v="21"/>
    <x v="9"/>
    <x v="1"/>
    <s v="P1002"/>
    <x v="14"/>
    <x v="0"/>
    <n v="3"/>
    <n v="2499"/>
    <n v="7497"/>
    <x v="617"/>
    <x v="3"/>
    <x v="0"/>
    <x v="1"/>
  </r>
  <r>
    <s v="ORD00620"/>
    <x v="290"/>
    <s v="C0152"/>
    <x v="67"/>
    <x v="11"/>
    <x v="7"/>
    <s v="P1014"/>
    <x v="8"/>
    <x v="4"/>
    <n v="4"/>
    <n v="7149"/>
    <n v="22876.799999999999"/>
    <x v="618"/>
    <x v="1"/>
    <x v="3"/>
    <x v="0"/>
  </r>
  <r>
    <s v="ORD00621"/>
    <x v="257"/>
    <s v="C0026"/>
    <x v="96"/>
    <x v="12"/>
    <x v="3"/>
    <s v="P1014"/>
    <x v="8"/>
    <x v="4"/>
    <n v="4"/>
    <n v="6499"/>
    <n v="25996"/>
    <x v="619"/>
    <x v="0"/>
    <x v="0"/>
    <x v="0"/>
  </r>
  <r>
    <s v="ORD00622"/>
    <x v="67"/>
    <s v="C0056"/>
    <x v="33"/>
    <x v="15"/>
    <x v="9"/>
    <s v="P1006"/>
    <x v="16"/>
    <x v="2"/>
    <n v="7"/>
    <n v="699"/>
    <n v="4893"/>
    <x v="620"/>
    <x v="1"/>
    <x v="0"/>
    <x v="2"/>
  </r>
  <r>
    <s v="ORD00623"/>
    <x v="202"/>
    <s v="C0086"/>
    <x v="3"/>
    <x v="8"/>
    <x v="6"/>
    <s v="P1002"/>
    <x v="14"/>
    <x v="0"/>
    <n v="1"/>
    <n v="2499"/>
    <n v="2499"/>
    <x v="621"/>
    <x v="4"/>
    <x v="0"/>
    <x v="2"/>
  </r>
  <r>
    <s v="ORD00624"/>
    <x v="291"/>
    <s v="C0057"/>
    <x v="122"/>
    <x v="4"/>
    <x v="2"/>
    <s v="P1020"/>
    <x v="12"/>
    <x v="3"/>
    <n v="3"/>
    <n v="604"/>
    <n v="1540.2"/>
    <x v="622"/>
    <x v="0"/>
    <x v="1"/>
    <x v="2"/>
  </r>
  <r>
    <s v="ORD00625"/>
    <x v="233"/>
    <s v="C0106"/>
    <x v="114"/>
    <x v="3"/>
    <x v="0"/>
    <s v="P1016"/>
    <x v="10"/>
    <x v="6"/>
    <n v="4"/>
    <n v="1049"/>
    <n v="3776.4"/>
    <x v="623"/>
    <x v="2"/>
    <x v="0"/>
    <x v="2"/>
  </r>
  <r>
    <s v="ORD00626"/>
    <x v="141"/>
    <s v="C0064"/>
    <x v="11"/>
    <x v="11"/>
    <x v="7"/>
    <s v="P1014"/>
    <x v="8"/>
    <x v="4"/>
    <n v="4"/>
    <n v="6824"/>
    <n v="27296"/>
    <x v="624"/>
    <x v="3"/>
    <x v="0"/>
    <x v="0"/>
  </r>
  <r>
    <s v="ORD00627"/>
    <x v="240"/>
    <s v="C0121"/>
    <x v="121"/>
    <x v="3"/>
    <x v="0"/>
    <s v="P1002"/>
    <x v="14"/>
    <x v="0"/>
    <n v="7"/>
    <n v="2624"/>
    <n v="16531.2"/>
    <x v="625"/>
    <x v="3"/>
    <x v="0"/>
    <x v="0"/>
  </r>
  <r>
    <s v="ORD00628"/>
    <x v="268"/>
    <s v="C0143"/>
    <x v="70"/>
    <x v="14"/>
    <x v="1"/>
    <s v="P1014"/>
    <x v="8"/>
    <x v="4"/>
    <n v="4"/>
    <n v="6499"/>
    <n v="24696.2"/>
    <x v="626"/>
    <x v="3"/>
    <x v="0"/>
    <x v="0"/>
  </r>
  <r>
    <s v="ORD00629"/>
    <x v="42"/>
    <s v="C0042"/>
    <x v="140"/>
    <x v="15"/>
    <x v="9"/>
    <s v="P1019"/>
    <x v="1"/>
    <x v="1"/>
    <n v="1"/>
    <n v="1599"/>
    <n v="1439.1"/>
    <x v="627"/>
    <x v="4"/>
    <x v="0"/>
    <x v="2"/>
  </r>
  <r>
    <s v="ORD00630"/>
    <x v="56"/>
    <s v="C0119"/>
    <x v="30"/>
    <x v="14"/>
    <x v="1"/>
    <s v="P1003"/>
    <x v="15"/>
    <x v="0"/>
    <n v="7"/>
    <n v="1979"/>
    <n v="13160.35"/>
    <x v="628"/>
    <x v="2"/>
    <x v="0"/>
    <x v="0"/>
  </r>
  <r>
    <s v="ORD00631"/>
    <x v="292"/>
    <s v="C0157"/>
    <x v="90"/>
    <x v="7"/>
    <x v="5"/>
    <s v="P1019"/>
    <x v="1"/>
    <x v="1"/>
    <n v="4"/>
    <n v="1759"/>
    <n v="7036"/>
    <x v="629"/>
    <x v="2"/>
    <x v="0"/>
    <x v="1"/>
  </r>
  <r>
    <s v="ORD00632"/>
    <x v="133"/>
    <s v="C0173"/>
    <x v="62"/>
    <x v="17"/>
    <x v="7"/>
    <s v="P1002"/>
    <x v="14"/>
    <x v="0"/>
    <n v="2"/>
    <n v="2499"/>
    <n v="4748.1000000000004"/>
    <x v="630"/>
    <x v="3"/>
    <x v="0"/>
    <x v="2"/>
  </r>
  <r>
    <s v="ORD00633"/>
    <x v="211"/>
    <s v="C0144"/>
    <x v="62"/>
    <x v="2"/>
    <x v="1"/>
    <s v="P1018"/>
    <x v="18"/>
    <x v="1"/>
    <n v="4"/>
    <n v="799"/>
    <n v="3036.2"/>
    <x v="631"/>
    <x v="3"/>
    <x v="0"/>
    <x v="2"/>
  </r>
  <r>
    <s v="ORD00634"/>
    <x v="293"/>
    <s v="C0180"/>
    <x v="58"/>
    <x v="16"/>
    <x v="6"/>
    <s v="P1008"/>
    <x v="2"/>
    <x v="2"/>
    <n v="6"/>
    <n v="1299"/>
    <n v="7404.3"/>
    <x v="632"/>
    <x v="4"/>
    <x v="0"/>
    <x v="1"/>
  </r>
  <r>
    <s v="ORD00635"/>
    <x v="87"/>
    <s v="C0089"/>
    <x v="94"/>
    <x v="15"/>
    <x v="9"/>
    <s v="P1016"/>
    <x v="10"/>
    <x v="6"/>
    <n v="2"/>
    <n v="999"/>
    <n v="1598.4"/>
    <x v="633"/>
    <x v="0"/>
    <x v="2"/>
    <x v="2"/>
  </r>
  <r>
    <s v="ORD00636"/>
    <x v="162"/>
    <s v="C0095"/>
    <x v="105"/>
    <x v="2"/>
    <x v="1"/>
    <s v="P1007"/>
    <x v="13"/>
    <x v="2"/>
    <n v="8"/>
    <n v="2069"/>
    <n v="16552"/>
    <x v="634"/>
    <x v="1"/>
    <x v="0"/>
    <x v="0"/>
  </r>
  <r>
    <s v="ORD00637"/>
    <x v="13"/>
    <s v="C0043"/>
    <x v="29"/>
    <x v="5"/>
    <x v="3"/>
    <s v="P1004"/>
    <x v="11"/>
    <x v="0"/>
    <n v="3"/>
    <n v="1499"/>
    <n v="4497"/>
    <x v="635"/>
    <x v="0"/>
    <x v="1"/>
    <x v="2"/>
  </r>
  <r>
    <s v="ORD00638"/>
    <x v="294"/>
    <s v="C0107"/>
    <x v="91"/>
    <x v="7"/>
    <x v="5"/>
    <s v="P1005"/>
    <x v="0"/>
    <x v="0"/>
    <n v="8"/>
    <n v="3999"/>
    <n v="28792.799999999999"/>
    <x v="636"/>
    <x v="3"/>
    <x v="0"/>
    <x v="0"/>
  </r>
  <r>
    <s v="ORD00639"/>
    <x v="266"/>
    <s v="C0060"/>
    <x v="79"/>
    <x v="3"/>
    <x v="0"/>
    <s v="P1011"/>
    <x v="3"/>
    <x v="3"/>
    <n v="7"/>
    <n v="944"/>
    <n v="6277.6"/>
    <x v="637"/>
    <x v="2"/>
    <x v="0"/>
    <x v="1"/>
  </r>
  <r>
    <s v="ORD00640"/>
    <x v="76"/>
    <s v="C0136"/>
    <x v="24"/>
    <x v="7"/>
    <x v="5"/>
    <s v="P1015"/>
    <x v="4"/>
    <x v="4"/>
    <n v="8"/>
    <n v="7999"/>
    <n v="54393.2"/>
    <x v="638"/>
    <x v="2"/>
    <x v="0"/>
    <x v="0"/>
  </r>
  <r>
    <s v="ORD00641"/>
    <x v="257"/>
    <s v="C0124"/>
    <x v="75"/>
    <x v="17"/>
    <x v="7"/>
    <s v="P1010"/>
    <x v="7"/>
    <x v="3"/>
    <n v="1"/>
    <n v="3299"/>
    <n v="3134.05"/>
    <x v="639"/>
    <x v="1"/>
    <x v="0"/>
    <x v="2"/>
  </r>
  <r>
    <s v="ORD00642"/>
    <x v="187"/>
    <s v="C0138"/>
    <x v="100"/>
    <x v="4"/>
    <x v="2"/>
    <s v="P1006"/>
    <x v="16"/>
    <x v="2"/>
    <n v="3"/>
    <n v="769"/>
    <n v="1845.6"/>
    <x v="640"/>
    <x v="1"/>
    <x v="0"/>
    <x v="2"/>
  </r>
  <r>
    <s v="ORD00643"/>
    <x v="295"/>
    <s v="C0082"/>
    <x v="115"/>
    <x v="8"/>
    <x v="6"/>
    <s v="P1015"/>
    <x v="4"/>
    <x v="4"/>
    <n v="5"/>
    <n v="7999"/>
    <n v="39995"/>
    <x v="641"/>
    <x v="3"/>
    <x v="0"/>
    <x v="0"/>
  </r>
  <r>
    <s v="ORD00644"/>
    <x v="296"/>
    <s v="C0096"/>
    <x v="78"/>
    <x v="15"/>
    <x v="9"/>
    <s v="P1018"/>
    <x v="18"/>
    <x v="1"/>
    <n v="3"/>
    <n v="839"/>
    <n v="2391.15"/>
    <x v="642"/>
    <x v="3"/>
    <x v="0"/>
    <x v="2"/>
  </r>
  <r>
    <s v="ORD00645"/>
    <x v="67"/>
    <s v="C0118"/>
    <x v="92"/>
    <x v="11"/>
    <x v="7"/>
    <s v="P1005"/>
    <x v="0"/>
    <x v="0"/>
    <n v="1"/>
    <n v="4399"/>
    <n v="3739.15"/>
    <x v="643"/>
    <x v="2"/>
    <x v="0"/>
    <x v="2"/>
  </r>
  <r>
    <s v="ORD00646"/>
    <x v="156"/>
    <s v="C0075"/>
    <x v="130"/>
    <x v="8"/>
    <x v="6"/>
    <s v="P1019"/>
    <x v="1"/>
    <x v="1"/>
    <n v="8"/>
    <n v="1599"/>
    <n v="10233.6"/>
    <x v="644"/>
    <x v="4"/>
    <x v="2"/>
    <x v="0"/>
  </r>
  <r>
    <s v="ORD00647"/>
    <x v="93"/>
    <s v="C0142"/>
    <x v="10"/>
    <x v="9"/>
    <x v="1"/>
    <s v="P1010"/>
    <x v="7"/>
    <x v="3"/>
    <n v="1"/>
    <n v="3299"/>
    <n v="2804.15"/>
    <x v="645"/>
    <x v="4"/>
    <x v="0"/>
    <x v="2"/>
  </r>
  <r>
    <s v="ORD00648"/>
    <x v="199"/>
    <s v="C0156"/>
    <x v="20"/>
    <x v="16"/>
    <x v="6"/>
    <s v="P1019"/>
    <x v="1"/>
    <x v="1"/>
    <n v="4"/>
    <n v="1599"/>
    <n v="6396"/>
    <x v="646"/>
    <x v="0"/>
    <x v="3"/>
    <x v="1"/>
  </r>
  <r>
    <s v="ORD00649"/>
    <x v="4"/>
    <s v="C0023"/>
    <x v="129"/>
    <x v="3"/>
    <x v="0"/>
    <s v="P1013"/>
    <x v="19"/>
    <x v="5"/>
    <n v="4"/>
    <n v="149"/>
    <n v="566.20000000000005"/>
    <x v="647"/>
    <x v="0"/>
    <x v="1"/>
    <x v="2"/>
  </r>
  <r>
    <s v="ORD00650"/>
    <x v="127"/>
    <s v="C0102"/>
    <x v="80"/>
    <x v="8"/>
    <x v="6"/>
    <s v="P1014"/>
    <x v="8"/>
    <x v="4"/>
    <n v="6"/>
    <n v="6499"/>
    <n v="37044.300000000003"/>
    <x v="648"/>
    <x v="2"/>
    <x v="0"/>
    <x v="0"/>
  </r>
  <r>
    <s v="ORD00651"/>
    <x v="75"/>
    <s v="C0023"/>
    <x v="129"/>
    <x v="16"/>
    <x v="6"/>
    <s v="P1015"/>
    <x v="4"/>
    <x v="4"/>
    <n v="7"/>
    <n v="7999"/>
    <n v="53193.35"/>
    <x v="649"/>
    <x v="4"/>
    <x v="0"/>
    <x v="0"/>
  </r>
  <r>
    <s v="ORD00652"/>
    <x v="297"/>
    <s v="C0151"/>
    <x v="64"/>
    <x v="2"/>
    <x v="1"/>
    <s v="P1005"/>
    <x v="0"/>
    <x v="0"/>
    <n v="4"/>
    <n v="3999"/>
    <n v="14396.4"/>
    <x v="650"/>
    <x v="0"/>
    <x v="1"/>
    <x v="0"/>
  </r>
  <r>
    <s v="ORD00653"/>
    <x v="298"/>
    <s v="C0097"/>
    <x v="72"/>
    <x v="2"/>
    <x v="1"/>
    <s v="P1001"/>
    <x v="6"/>
    <x v="0"/>
    <n v="7"/>
    <n v="659"/>
    <n v="4382.3500000000004"/>
    <x v="651"/>
    <x v="0"/>
    <x v="0"/>
    <x v="2"/>
  </r>
  <r>
    <s v="ORD00654"/>
    <x v="213"/>
    <s v="C0052"/>
    <x v="42"/>
    <x v="10"/>
    <x v="6"/>
    <s v="P1013"/>
    <x v="19"/>
    <x v="5"/>
    <n v="5"/>
    <n v="156"/>
    <n v="702"/>
    <x v="652"/>
    <x v="2"/>
    <x v="3"/>
    <x v="2"/>
  </r>
  <r>
    <s v="ORD00655"/>
    <x v="223"/>
    <s v="C0144"/>
    <x v="62"/>
    <x v="15"/>
    <x v="9"/>
    <s v="P1008"/>
    <x v="2"/>
    <x v="2"/>
    <n v="1"/>
    <n v="1169"/>
    <n v="1169"/>
    <x v="653"/>
    <x v="4"/>
    <x v="0"/>
    <x v="2"/>
  </r>
  <r>
    <s v="ORD00656"/>
    <x v="69"/>
    <s v="C0107"/>
    <x v="91"/>
    <x v="10"/>
    <x v="6"/>
    <s v="P1016"/>
    <x v="10"/>
    <x v="6"/>
    <n v="4"/>
    <n v="899"/>
    <n v="3596"/>
    <x v="654"/>
    <x v="4"/>
    <x v="1"/>
    <x v="2"/>
  </r>
  <r>
    <s v="ORD00657"/>
    <x v="299"/>
    <s v="C0093"/>
    <x v="132"/>
    <x v="0"/>
    <x v="0"/>
    <s v="P1019"/>
    <x v="1"/>
    <x v="1"/>
    <n v="7"/>
    <n v="1599"/>
    <n v="8954.4"/>
    <x v="655"/>
    <x v="3"/>
    <x v="0"/>
    <x v="1"/>
  </r>
  <r>
    <s v="ORD00658"/>
    <x v="253"/>
    <s v="C0005"/>
    <x v="51"/>
    <x v="5"/>
    <x v="3"/>
    <s v="P1006"/>
    <x v="16"/>
    <x v="2"/>
    <n v="1"/>
    <n v="699"/>
    <n v="664.05"/>
    <x v="656"/>
    <x v="1"/>
    <x v="0"/>
    <x v="2"/>
  </r>
  <r>
    <s v="ORD00659"/>
    <x v="111"/>
    <s v="C0093"/>
    <x v="132"/>
    <x v="6"/>
    <x v="4"/>
    <s v="P1012"/>
    <x v="9"/>
    <x v="5"/>
    <n v="1"/>
    <n v="249"/>
    <n v="236.55"/>
    <x v="657"/>
    <x v="3"/>
    <x v="0"/>
    <x v="2"/>
  </r>
  <r>
    <s v="ORD00660"/>
    <x v="212"/>
    <s v="C0025"/>
    <x v="111"/>
    <x v="10"/>
    <x v="6"/>
    <s v="P1018"/>
    <x v="18"/>
    <x v="1"/>
    <n v="6"/>
    <n v="799"/>
    <n v="3835.2"/>
    <x v="658"/>
    <x v="2"/>
    <x v="0"/>
    <x v="2"/>
  </r>
  <r>
    <s v="ORD00661"/>
    <x v="134"/>
    <s v="C0025"/>
    <x v="111"/>
    <x v="7"/>
    <x v="5"/>
    <s v="P1019"/>
    <x v="1"/>
    <x v="1"/>
    <n v="6"/>
    <n v="1599"/>
    <n v="9594"/>
    <x v="659"/>
    <x v="2"/>
    <x v="0"/>
    <x v="1"/>
  </r>
  <r>
    <s v="ORD00662"/>
    <x v="54"/>
    <s v="C0088"/>
    <x v="51"/>
    <x v="10"/>
    <x v="6"/>
    <s v="P1004"/>
    <x v="11"/>
    <x v="0"/>
    <n v="4"/>
    <n v="1499"/>
    <n v="5096.6000000000004"/>
    <x v="660"/>
    <x v="1"/>
    <x v="3"/>
    <x v="1"/>
  </r>
  <r>
    <s v="ORD00663"/>
    <x v="89"/>
    <s v="C0177"/>
    <x v="46"/>
    <x v="3"/>
    <x v="0"/>
    <s v="P1018"/>
    <x v="18"/>
    <x v="1"/>
    <n v="2"/>
    <n v="799"/>
    <n v="1438.2"/>
    <x v="661"/>
    <x v="3"/>
    <x v="3"/>
    <x v="2"/>
  </r>
  <r>
    <s v="ORD00664"/>
    <x v="128"/>
    <s v="C0090"/>
    <x v="75"/>
    <x v="4"/>
    <x v="2"/>
    <s v="P1012"/>
    <x v="9"/>
    <x v="5"/>
    <n v="3"/>
    <n v="249"/>
    <n v="634.95000000000005"/>
    <x v="662"/>
    <x v="2"/>
    <x v="0"/>
    <x v="2"/>
  </r>
  <r>
    <s v="ORD00665"/>
    <x v="300"/>
    <s v="C0031"/>
    <x v="50"/>
    <x v="12"/>
    <x v="3"/>
    <s v="P1005"/>
    <x v="0"/>
    <x v="0"/>
    <n v="3"/>
    <n v="4399"/>
    <n v="13197"/>
    <x v="663"/>
    <x v="1"/>
    <x v="0"/>
    <x v="0"/>
  </r>
  <r>
    <s v="ORD00666"/>
    <x v="255"/>
    <s v="C0177"/>
    <x v="46"/>
    <x v="9"/>
    <x v="1"/>
    <s v="P1003"/>
    <x v="15"/>
    <x v="0"/>
    <n v="1"/>
    <n v="1799"/>
    <n v="1619.1"/>
    <x v="664"/>
    <x v="3"/>
    <x v="0"/>
    <x v="2"/>
  </r>
  <r>
    <s v="ORD00667"/>
    <x v="81"/>
    <s v="C0152"/>
    <x v="67"/>
    <x v="1"/>
    <x v="1"/>
    <s v="P1016"/>
    <x v="10"/>
    <x v="6"/>
    <n v="2"/>
    <n v="999"/>
    <n v="1998"/>
    <x v="665"/>
    <x v="3"/>
    <x v="0"/>
    <x v="2"/>
  </r>
  <r>
    <s v="ORD00668"/>
    <x v="195"/>
    <s v="C0053"/>
    <x v="108"/>
    <x v="16"/>
    <x v="6"/>
    <s v="P1006"/>
    <x v="16"/>
    <x v="2"/>
    <n v="6"/>
    <n v="629"/>
    <n v="3774"/>
    <x v="666"/>
    <x v="2"/>
    <x v="1"/>
    <x v="2"/>
  </r>
  <r>
    <s v="ORD00669"/>
    <x v="301"/>
    <s v="C0042"/>
    <x v="140"/>
    <x v="3"/>
    <x v="0"/>
    <s v="P1020"/>
    <x v="12"/>
    <x v="3"/>
    <n v="4"/>
    <n v="576"/>
    <n v="1958.4"/>
    <x v="667"/>
    <x v="0"/>
    <x v="3"/>
    <x v="2"/>
  </r>
  <r>
    <s v="ORD00670"/>
    <x v="158"/>
    <s v="C0050"/>
    <x v="74"/>
    <x v="4"/>
    <x v="2"/>
    <s v="P1006"/>
    <x v="16"/>
    <x v="2"/>
    <n v="1"/>
    <n v="769"/>
    <n v="769"/>
    <x v="668"/>
    <x v="0"/>
    <x v="3"/>
    <x v="2"/>
  </r>
  <r>
    <s v="ORD00671"/>
    <x v="264"/>
    <s v="C0179"/>
    <x v="23"/>
    <x v="10"/>
    <x v="6"/>
    <s v="P1015"/>
    <x v="4"/>
    <x v="4"/>
    <n v="2"/>
    <n v="7999"/>
    <n v="15198.1"/>
    <x v="669"/>
    <x v="4"/>
    <x v="0"/>
    <x v="0"/>
  </r>
  <r>
    <s v="ORD00672"/>
    <x v="144"/>
    <s v="C0029"/>
    <x v="141"/>
    <x v="11"/>
    <x v="7"/>
    <s v="P1004"/>
    <x v="11"/>
    <x v="0"/>
    <n v="8"/>
    <n v="1349"/>
    <n v="9173.2000000000007"/>
    <x v="670"/>
    <x v="2"/>
    <x v="0"/>
    <x v="1"/>
  </r>
  <r>
    <s v="ORD00673"/>
    <x v="240"/>
    <s v="C0022"/>
    <x v="44"/>
    <x v="11"/>
    <x v="7"/>
    <s v="P1016"/>
    <x v="10"/>
    <x v="6"/>
    <n v="2"/>
    <n v="999"/>
    <n v="1898.1"/>
    <x v="671"/>
    <x v="2"/>
    <x v="0"/>
    <x v="2"/>
  </r>
  <r>
    <s v="ORD00674"/>
    <x v="178"/>
    <s v="C0142"/>
    <x v="10"/>
    <x v="6"/>
    <x v="4"/>
    <s v="P1010"/>
    <x v="7"/>
    <x v="3"/>
    <n v="7"/>
    <n v="3299"/>
    <n v="23093"/>
    <x v="672"/>
    <x v="4"/>
    <x v="2"/>
    <x v="0"/>
  </r>
  <r>
    <s v="ORD00675"/>
    <x v="302"/>
    <s v="C0004"/>
    <x v="42"/>
    <x v="0"/>
    <x v="0"/>
    <s v="P1004"/>
    <x v="11"/>
    <x v="0"/>
    <n v="7"/>
    <n v="1499"/>
    <n v="8919.0499999999993"/>
    <x v="673"/>
    <x v="3"/>
    <x v="0"/>
    <x v="1"/>
  </r>
  <r>
    <s v="ORD00676"/>
    <x v="303"/>
    <s v="C0178"/>
    <x v="49"/>
    <x v="9"/>
    <x v="1"/>
    <s v="P1006"/>
    <x v="16"/>
    <x v="2"/>
    <n v="2"/>
    <n v="699"/>
    <n v="1398"/>
    <x v="674"/>
    <x v="0"/>
    <x v="3"/>
    <x v="2"/>
  </r>
  <r>
    <s v="ORD00677"/>
    <x v="57"/>
    <s v="C0060"/>
    <x v="79"/>
    <x v="6"/>
    <x v="4"/>
    <s v="P1016"/>
    <x v="10"/>
    <x v="6"/>
    <n v="5"/>
    <n v="1099"/>
    <n v="4670.75"/>
    <x v="675"/>
    <x v="4"/>
    <x v="0"/>
    <x v="2"/>
  </r>
  <r>
    <s v="ORD00678"/>
    <x v="195"/>
    <s v="C0104"/>
    <x v="142"/>
    <x v="0"/>
    <x v="0"/>
    <s v="P1017"/>
    <x v="17"/>
    <x v="6"/>
    <n v="5"/>
    <n v="1899"/>
    <n v="8545.5"/>
    <x v="676"/>
    <x v="2"/>
    <x v="0"/>
    <x v="1"/>
  </r>
  <r>
    <s v="ORD00679"/>
    <x v="304"/>
    <s v="C0035"/>
    <x v="35"/>
    <x v="14"/>
    <x v="1"/>
    <s v="P1004"/>
    <x v="11"/>
    <x v="0"/>
    <n v="1"/>
    <n v="1349"/>
    <n v="1214.0999999999999"/>
    <x v="677"/>
    <x v="1"/>
    <x v="0"/>
    <x v="2"/>
  </r>
  <r>
    <s v="ORD00680"/>
    <x v="305"/>
    <s v="C0040"/>
    <x v="7"/>
    <x v="4"/>
    <x v="2"/>
    <s v="P1020"/>
    <x v="12"/>
    <x v="3"/>
    <n v="2"/>
    <n v="494"/>
    <n v="790.4"/>
    <x v="678"/>
    <x v="4"/>
    <x v="3"/>
    <x v="2"/>
  </r>
  <r>
    <s v="ORD00681"/>
    <x v="294"/>
    <s v="C0170"/>
    <x v="0"/>
    <x v="0"/>
    <x v="0"/>
    <s v="P1016"/>
    <x v="10"/>
    <x v="6"/>
    <n v="5"/>
    <n v="1049"/>
    <n v="4982.75"/>
    <x v="679"/>
    <x v="0"/>
    <x v="0"/>
    <x v="2"/>
  </r>
  <r>
    <s v="ORD00682"/>
    <x v="85"/>
    <s v="C0031"/>
    <x v="50"/>
    <x v="13"/>
    <x v="8"/>
    <s v="P1015"/>
    <x v="4"/>
    <x v="4"/>
    <n v="6"/>
    <n v="7999"/>
    <n v="43194.6"/>
    <x v="680"/>
    <x v="3"/>
    <x v="0"/>
    <x v="0"/>
  </r>
  <r>
    <s v="ORD00683"/>
    <x v="46"/>
    <s v="C0043"/>
    <x v="29"/>
    <x v="0"/>
    <x v="0"/>
    <s v="P1014"/>
    <x v="8"/>
    <x v="4"/>
    <n v="3"/>
    <n v="6499"/>
    <n v="15597.6"/>
    <x v="681"/>
    <x v="3"/>
    <x v="0"/>
    <x v="0"/>
  </r>
  <r>
    <s v="ORD00684"/>
    <x v="71"/>
    <s v="C0142"/>
    <x v="10"/>
    <x v="7"/>
    <x v="5"/>
    <s v="P1019"/>
    <x v="1"/>
    <x v="1"/>
    <n v="8"/>
    <n v="1599"/>
    <n v="10873.2"/>
    <x v="682"/>
    <x v="0"/>
    <x v="0"/>
    <x v="0"/>
  </r>
  <r>
    <s v="ORD00685"/>
    <x v="306"/>
    <s v="C0152"/>
    <x v="67"/>
    <x v="13"/>
    <x v="8"/>
    <s v="P1020"/>
    <x v="12"/>
    <x v="3"/>
    <n v="6"/>
    <n v="549"/>
    <n v="3129.3"/>
    <x v="683"/>
    <x v="0"/>
    <x v="0"/>
    <x v="2"/>
  </r>
  <r>
    <s v="ORD00686"/>
    <x v="99"/>
    <s v="C0150"/>
    <x v="57"/>
    <x v="14"/>
    <x v="1"/>
    <s v="P1011"/>
    <x v="3"/>
    <x v="3"/>
    <n v="7"/>
    <n v="809"/>
    <n v="5096.7"/>
    <x v="684"/>
    <x v="2"/>
    <x v="0"/>
    <x v="1"/>
  </r>
  <r>
    <s v="ORD00687"/>
    <x v="280"/>
    <s v="C0063"/>
    <x v="56"/>
    <x v="12"/>
    <x v="3"/>
    <s v="P1008"/>
    <x v="2"/>
    <x v="2"/>
    <n v="5"/>
    <n v="1364"/>
    <n v="6820"/>
    <x v="685"/>
    <x v="3"/>
    <x v="2"/>
    <x v="1"/>
  </r>
  <r>
    <s v="ORD00688"/>
    <x v="182"/>
    <s v="C0044"/>
    <x v="143"/>
    <x v="14"/>
    <x v="1"/>
    <s v="P1018"/>
    <x v="18"/>
    <x v="1"/>
    <n v="6"/>
    <n v="719"/>
    <n v="3882.6"/>
    <x v="686"/>
    <x v="4"/>
    <x v="0"/>
    <x v="2"/>
  </r>
  <r>
    <s v="ORD00689"/>
    <x v="307"/>
    <s v="C0006"/>
    <x v="134"/>
    <x v="0"/>
    <x v="0"/>
    <s v="P1019"/>
    <x v="1"/>
    <x v="1"/>
    <n v="1"/>
    <n v="1599"/>
    <n v="1439.1"/>
    <x v="687"/>
    <x v="2"/>
    <x v="0"/>
    <x v="2"/>
  </r>
  <r>
    <s v="ORD00690"/>
    <x v="64"/>
    <s v="C0177"/>
    <x v="46"/>
    <x v="16"/>
    <x v="6"/>
    <s v="P1011"/>
    <x v="3"/>
    <x v="3"/>
    <n v="8"/>
    <n v="944"/>
    <n v="6041.6"/>
    <x v="688"/>
    <x v="0"/>
    <x v="0"/>
    <x v="1"/>
  </r>
  <r>
    <s v="ORD00691"/>
    <x v="202"/>
    <s v="C0128"/>
    <x v="20"/>
    <x v="2"/>
    <x v="1"/>
    <s v="P1018"/>
    <x v="18"/>
    <x v="1"/>
    <n v="4"/>
    <n v="799"/>
    <n v="3036.2"/>
    <x v="689"/>
    <x v="0"/>
    <x v="0"/>
    <x v="2"/>
  </r>
  <r>
    <s v="ORD00692"/>
    <x v="265"/>
    <s v="C0024"/>
    <x v="8"/>
    <x v="9"/>
    <x v="1"/>
    <s v="P1019"/>
    <x v="1"/>
    <x v="1"/>
    <n v="6"/>
    <n v="1599"/>
    <n v="9594"/>
    <x v="690"/>
    <x v="0"/>
    <x v="0"/>
    <x v="1"/>
  </r>
  <r>
    <s v="ORD00693"/>
    <x v="308"/>
    <s v="C0020"/>
    <x v="118"/>
    <x v="4"/>
    <x v="2"/>
    <s v="P1017"/>
    <x v="17"/>
    <x v="6"/>
    <n v="5"/>
    <n v="1899"/>
    <n v="7596"/>
    <x v="691"/>
    <x v="1"/>
    <x v="0"/>
    <x v="1"/>
  </r>
  <r>
    <s v="ORD00694"/>
    <x v="265"/>
    <s v="C0132"/>
    <x v="47"/>
    <x v="15"/>
    <x v="9"/>
    <s v="P1018"/>
    <x v="18"/>
    <x v="1"/>
    <n v="3"/>
    <n v="719"/>
    <n v="1725.6"/>
    <x v="692"/>
    <x v="1"/>
    <x v="0"/>
    <x v="2"/>
  </r>
  <r>
    <s v="ORD00695"/>
    <x v="280"/>
    <s v="C0120"/>
    <x v="88"/>
    <x v="5"/>
    <x v="3"/>
    <s v="P1018"/>
    <x v="18"/>
    <x v="1"/>
    <n v="7"/>
    <n v="839"/>
    <n v="4698.3999999999996"/>
    <x v="693"/>
    <x v="0"/>
    <x v="0"/>
    <x v="2"/>
  </r>
  <r>
    <s v="ORD00696"/>
    <x v="296"/>
    <s v="C0062"/>
    <x v="103"/>
    <x v="8"/>
    <x v="6"/>
    <s v="P1010"/>
    <x v="7"/>
    <x v="3"/>
    <n v="7"/>
    <n v="3299"/>
    <n v="21938.35"/>
    <x v="694"/>
    <x v="3"/>
    <x v="0"/>
    <x v="0"/>
  </r>
  <r>
    <s v="ORD00697"/>
    <x v="307"/>
    <s v="C0074"/>
    <x v="15"/>
    <x v="10"/>
    <x v="6"/>
    <s v="P1009"/>
    <x v="5"/>
    <x v="3"/>
    <n v="4"/>
    <n v="399"/>
    <n v="1596"/>
    <x v="695"/>
    <x v="1"/>
    <x v="0"/>
    <x v="2"/>
  </r>
  <r>
    <s v="ORD00698"/>
    <x v="309"/>
    <s v="C0125"/>
    <x v="123"/>
    <x v="7"/>
    <x v="5"/>
    <s v="P1014"/>
    <x v="8"/>
    <x v="4"/>
    <n v="7"/>
    <n v="7149"/>
    <n v="50043"/>
    <x v="696"/>
    <x v="2"/>
    <x v="0"/>
    <x v="0"/>
  </r>
  <r>
    <s v="ORD00699"/>
    <x v="31"/>
    <s v="C0169"/>
    <x v="3"/>
    <x v="7"/>
    <x v="5"/>
    <s v="P1006"/>
    <x v="16"/>
    <x v="2"/>
    <n v="1"/>
    <n v="769"/>
    <n v="692.1"/>
    <x v="697"/>
    <x v="3"/>
    <x v="3"/>
    <x v="2"/>
  </r>
  <r>
    <s v="ORD00700"/>
    <x v="1"/>
    <s v="C0155"/>
    <x v="85"/>
    <x v="4"/>
    <x v="2"/>
    <s v="P1003"/>
    <x v="15"/>
    <x v="0"/>
    <n v="7"/>
    <n v="1799"/>
    <n v="10074.4"/>
    <x v="698"/>
    <x v="3"/>
    <x v="0"/>
    <x v="0"/>
  </r>
  <r>
    <s v="ORD00701"/>
    <x v="297"/>
    <s v="C0061"/>
    <x v="125"/>
    <x v="9"/>
    <x v="1"/>
    <s v="P1019"/>
    <x v="1"/>
    <x v="1"/>
    <n v="2"/>
    <n v="1679"/>
    <n v="2686.4"/>
    <x v="699"/>
    <x v="0"/>
    <x v="0"/>
    <x v="2"/>
  </r>
  <r>
    <s v="ORD00702"/>
    <x v="179"/>
    <s v="C0154"/>
    <x v="17"/>
    <x v="9"/>
    <x v="1"/>
    <s v="P1011"/>
    <x v="3"/>
    <x v="3"/>
    <n v="6"/>
    <n v="944"/>
    <n v="4531.2"/>
    <x v="700"/>
    <x v="1"/>
    <x v="2"/>
    <x v="2"/>
  </r>
  <r>
    <s v="ORD00703"/>
    <x v="136"/>
    <s v="C0028"/>
    <x v="34"/>
    <x v="10"/>
    <x v="6"/>
    <s v="P1007"/>
    <x v="13"/>
    <x v="2"/>
    <n v="5"/>
    <n v="2299"/>
    <n v="10345.5"/>
    <x v="701"/>
    <x v="0"/>
    <x v="0"/>
    <x v="0"/>
  </r>
  <r>
    <s v="ORD00704"/>
    <x v="176"/>
    <s v="C0180"/>
    <x v="58"/>
    <x v="9"/>
    <x v="1"/>
    <s v="P1011"/>
    <x v="3"/>
    <x v="3"/>
    <n v="7"/>
    <n v="899"/>
    <n v="5034.3999999999996"/>
    <x v="702"/>
    <x v="2"/>
    <x v="2"/>
    <x v="1"/>
  </r>
  <r>
    <s v="ORD00705"/>
    <x v="134"/>
    <s v="C0122"/>
    <x v="39"/>
    <x v="17"/>
    <x v="7"/>
    <s v="P1010"/>
    <x v="7"/>
    <x v="3"/>
    <n v="1"/>
    <n v="3629"/>
    <n v="3084.65"/>
    <x v="703"/>
    <x v="3"/>
    <x v="0"/>
    <x v="2"/>
  </r>
  <r>
    <s v="ORD00706"/>
    <x v="186"/>
    <s v="C0065"/>
    <x v="40"/>
    <x v="7"/>
    <x v="5"/>
    <s v="P1013"/>
    <x v="19"/>
    <x v="5"/>
    <n v="5"/>
    <n v="164"/>
    <n v="656"/>
    <x v="704"/>
    <x v="3"/>
    <x v="0"/>
    <x v="2"/>
  </r>
  <r>
    <s v="ORD00707"/>
    <x v="209"/>
    <s v="C0100"/>
    <x v="28"/>
    <x v="14"/>
    <x v="1"/>
    <s v="P1013"/>
    <x v="19"/>
    <x v="5"/>
    <n v="5"/>
    <n v="149"/>
    <n v="745"/>
    <x v="705"/>
    <x v="1"/>
    <x v="0"/>
    <x v="2"/>
  </r>
  <r>
    <s v="ORD00708"/>
    <x v="234"/>
    <s v="C0162"/>
    <x v="128"/>
    <x v="11"/>
    <x v="7"/>
    <s v="P1014"/>
    <x v="8"/>
    <x v="4"/>
    <n v="1"/>
    <n v="6499"/>
    <n v="6499"/>
    <x v="706"/>
    <x v="4"/>
    <x v="0"/>
    <x v="1"/>
  </r>
  <r>
    <s v="ORD00709"/>
    <x v="214"/>
    <s v="C0109"/>
    <x v="0"/>
    <x v="9"/>
    <x v="1"/>
    <s v="P1006"/>
    <x v="16"/>
    <x v="2"/>
    <n v="5"/>
    <n v="734"/>
    <n v="3670"/>
    <x v="707"/>
    <x v="0"/>
    <x v="0"/>
    <x v="2"/>
  </r>
  <r>
    <s v="ORD00710"/>
    <x v="305"/>
    <s v="C0117"/>
    <x v="75"/>
    <x v="14"/>
    <x v="1"/>
    <s v="P1002"/>
    <x v="14"/>
    <x v="0"/>
    <n v="3"/>
    <n v="2749"/>
    <n v="7422.3"/>
    <x v="708"/>
    <x v="1"/>
    <x v="0"/>
    <x v="1"/>
  </r>
  <r>
    <s v="ORD00711"/>
    <x v="304"/>
    <s v="C0079"/>
    <x v="101"/>
    <x v="11"/>
    <x v="7"/>
    <s v="P1019"/>
    <x v="1"/>
    <x v="1"/>
    <n v="2"/>
    <n v="1439"/>
    <n v="2878"/>
    <x v="709"/>
    <x v="1"/>
    <x v="3"/>
    <x v="2"/>
  </r>
  <r>
    <s v="ORD00712"/>
    <x v="54"/>
    <s v="C0082"/>
    <x v="115"/>
    <x v="15"/>
    <x v="9"/>
    <s v="P1016"/>
    <x v="10"/>
    <x v="6"/>
    <n v="3"/>
    <n v="999"/>
    <n v="2997"/>
    <x v="710"/>
    <x v="2"/>
    <x v="3"/>
    <x v="2"/>
  </r>
  <r>
    <s v="ORD00713"/>
    <x v="102"/>
    <s v="C0107"/>
    <x v="91"/>
    <x v="17"/>
    <x v="7"/>
    <s v="P1006"/>
    <x v="16"/>
    <x v="2"/>
    <n v="7"/>
    <n v="699"/>
    <n v="4159.05"/>
    <x v="711"/>
    <x v="3"/>
    <x v="2"/>
    <x v="2"/>
  </r>
  <r>
    <s v="ORD00714"/>
    <x v="310"/>
    <s v="C0161"/>
    <x v="45"/>
    <x v="12"/>
    <x v="3"/>
    <s v="P1003"/>
    <x v="15"/>
    <x v="0"/>
    <n v="8"/>
    <n v="1799"/>
    <n v="13672.4"/>
    <x v="712"/>
    <x v="1"/>
    <x v="0"/>
    <x v="0"/>
  </r>
  <r>
    <s v="ORD00715"/>
    <x v="185"/>
    <s v="C0154"/>
    <x v="17"/>
    <x v="5"/>
    <x v="3"/>
    <s v="P1005"/>
    <x v="0"/>
    <x v="0"/>
    <n v="2"/>
    <n v="3999"/>
    <n v="7998"/>
    <x v="713"/>
    <x v="3"/>
    <x v="0"/>
    <x v="1"/>
  </r>
  <r>
    <s v="ORD00716"/>
    <x v="246"/>
    <s v="C0117"/>
    <x v="75"/>
    <x v="0"/>
    <x v="0"/>
    <s v="P1004"/>
    <x v="11"/>
    <x v="0"/>
    <n v="4"/>
    <n v="1649"/>
    <n v="6596"/>
    <x v="714"/>
    <x v="2"/>
    <x v="0"/>
    <x v="1"/>
  </r>
  <r>
    <s v="ORD00717"/>
    <x v="244"/>
    <s v="C0034"/>
    <x v="69"/>
    <x v="6"/>
    <x v="4"/>
    <s v="P1007"/>
    <x v="13"/>
    <x v="2"/>
    <n v="4"/>
    <n v="2299"/>
    <n v="7356.8"/>
    <x v="715"/>
    <x v="4"/>
    <x v="0"/>
    <x v="1"/>
  </r>
  <r>
    <s v="ORD00718"/>
    <x v="300"/>
    <s v="C0075"/>
    <x v="130"/>
    <x v="5"/>
    <x v="3"/>
    <s v="P1008"/>
    <x v="2"/>
    <x v="2"/>
    <n v="8"/>
    <n v="1299"/>
    <n v="9872.4"/>
    <x v="716"/>
    <x v="4"/>
    <x v="0"/>
    <x v="1"/>
  </r>
  <r>
    <s v="ORD00719"/>
    <x v="118"/>
    <s v="C0083"/>
    <x v="126"/>
    <x v="13"/>
    <x v="8"/>
    <s v="P1007"/>
    <x v="13"/>
    <x v="2"/>
    <n v="7"/>
    <n v="2529"/>
    <n v="15932.7"/>
    <x v="717"/>
    <x v="2"/>
    <x v="0"/>
    <x v="0"/>
  </r>
  <r>
    <s v="ORD00720"/>
    <x v="50"/>
    <s v="C0014"/>
    <x v="104"/>
    <x v="11"/>
    <x v="7"/>
    <s v="P1008"/>
    <x v="2"/>
    <x v="2"/>
    <n v="8"/>
    <n v="1299"/>
    <n v="8833.2000000000007"/>
    <x v="718"/>
    <x v="0"/>
    <x v="0"/>
    <x v="1"/>
  </r>
  <r>
    <s v="ORD00721"/>
    <x v="224"/>
    <s v="C0065"/>
    <x v="40"/>
    <x v="3"/>
    <x v="0"/>
    <s v="P1020"/>
    <x v="12"/>
    <x v="3"/>
    <n v="7"/>
    <n v="549"/>
    <n v="3458.7"/>
    <x v="719"/>
    <x v="1"/>
    <x v="1"/>
    <x v="2"/>
  </r>
  <r>
    <s v="ORD00722"/>
    <x v="295"/>
    <s v="C0149"/>
    <x v="87"/>
    <x v="10"/>
    <x v="6"/>
    <s v="P1009"/>
    <x v="5"/>
    <x v="3"/>
    <n v="3"/>
    <n v="419"/>
    <n v="1131.3"/>
    <x v="720"/>
    <x v="4"/>
    <x v="0"/>
    <x v="2"/>
  </r>
  <r>
    <s v="ORD00723"/>
    <x v="227"/>
    <s v="C0136"/>
    <x v="24"/>
    <x v="6"/>
    <x v="4"/>
    <s v="P1005"/>
    <x v="0"/>
    <x v="0"/>
    <n v="5"/>
    <n v="3599"/>
    <n v="17095.25"/>
    <x v="721"/>
    <x v="1"/>
    <x v="0"/>
    <x v="0"/>
  </r>
  <r>
    <s v="ORD00724"/>
    <x v="127"/>
    <s v="C0111"/>
    <x v="89"/>
    <x v="4"/>
    <x v="2"/>
    <s v="P1009"/>
    <x v="5"/>
    <x v="3"/>
    <n v="5"/>
    <n v="419"/>
    <n v="1990.25"/>
    <x v="722"/>
    <x v="1"/>
    <x v="0"/>
    <x v="2"/>
  </r>
  <r>
    <s v="ORD00725"/>
    <x v="184"/>
    <s v="C0143"/>
    <x v="70"/>
    <x v="15"/>
    <x v="9"/>
    <s v="P1002"/>
    <x v="14"/>
    <x v="0"/>
    <n v="4"/>
    <n v="2499"/>
    <n v="9996"/>
    <x v="723"/>
    <x v="3"/>
    <x v="0"/>
    <x v="1"/>
  </r>
  <r>
    <s v="ORD00726"/>
    <x v="311"/>
    <s v="C0120"/>
    <x v="88"/>
    <x v="6"/>
    <x v="4"/>
    <s v="P1004"/>
    <x v="11"/>
    <x v="0"/>
    <n v="8"/>
    <n v="1349"/>
    <n v="9712.7999999999993"/>
    <x v="724"/>
    <x v="0"/>
    <x v="0"/>
    <x v="1"/>
  </r>
  <r>
    <s v="ORD00727"/>
    <x v="153"/>
    <s v="C0038"/>
    <x v="135"/>
    <x v="9"/>
    <x v="1"/>
    <s v="P1012"/>
    <x v="9"/>
    <x v="5"/>
    <n v="2"/>
    <n v="249"/>
    <n v="473.1"/>
    <x v="725"/>
    <x v="1"/>
    <x v="0"/>
    <x v="2"/>
  </r>
  <r>
    <s v="ORD00728"/>
    <x v="33"/>
    <s v="C0170"/>
    <x v="0"/>
    <x v="16"/>
    <x v="6"/>
    <s v="P1019"/>
    <x v="1"/>
    <x v="1"/>
    <n v="1"/>
    <n v="1679"/>
    <n v="1427.15"/>
    <x v="726"/>
    <x v="3"/>
    <x v="0"/>
    <x v="2"/>
  </r>
  <r>
    <s v="ORD00729"/>
    <x v="73"/>
    <s v="C0025"/>
    <x v="111"/>
    <x v="11"/>
    <x v="7"/>
    <s v="P1001"/>
    <x v="6"/>
    <x v="0"/>
    <n v="5"/>
    <n v="659"/>
    <n v="2636"/>
    <x v="727"/>
    <x v="2"/>
    <x v="0"/>
    <x v="2"/>
  </r>
  <r>
    <s v="ORD00730"/>
    <x v="147"/>
    <s v="C0040"/>
    <x v="7"/>
    <x v="14"/>
    <x v="1"/>
    <s v="P1003"/>
    <x v="15"/>
    <x v="0"/>
    <n v="8"/>
    <n v="1979"/>
    <n v="12665.6"/>
    <x v="728"/>
    <x v="2"/>
    <x v="0"/>
    <x v="0"/>
  </r>
  <r>
    <s v="ORD00731"/>
    <x v="236"/>
    <s v="C0012"/>
    <x v="21"/>
    <x v="15"/>
    <x v="9"/>
    <s v="P1011"/>
    <x v="3"/>
    <x v="3"/>
    <n v="3"/>
    <n v="899"/>
    <n v="2697"/>
    <x v="729"/>
    <x v="2"/>
    <x v="0"/>
    <x v="2"/>
  </r>
  <r>
    <s v="ORD00732"/>
    <x v="183"/>
    <s v="C0141"/>
    <x v="8"/>
    <x v="13"/>
    <x v="8"/>
    <s v="P1003"/>
    <x v="15"/>
    <x v="0"/>
    <n v="7"/>
    <n v="1799"/>
    <n v="12593"/>
    <x v="730"/>
    <x v="4"/>
    <x v="0"/>
    <x v="0"/>
  </r>
  <r>
    <s v="ORD00733"/>
    <x v="146"/>
    <s v="C0100"/>
    <x v="28"/>
    <x v="13"/>
    <x v="8"/>
    <s v="P1010"/>
    <x v="7"/>
    <x v="3"/>
    <n v="3"/>
    <n v="2969"/>
    <n v="8461.65"/>
    <x v="731"/>
    <x v="4"/>
    <x v="0"/>
    <x v="1"/>
  </r>
  <r>
    <s v="ORD00734"/>
    <x v="160"/>
    <s v="C0155"/>
    <x v="85"/>
    <x v="8"/>
    <x v="6"/>
    <s v="P1012"/>
    <x v="9"/>
    <x v="5"/>
    <n v="2"/>
    <n v="249"/>
    <n v="423.3"/>
    <x v="732"/>
    <x v="4"/>
    <x v="2"/>
    <x v="2"/>
  </r>
  <r>
    <s v="ORD00735"/>
    <x v="312"/>
    <s v="C0145"/>
    <x v="88"/>
    <x v="6"/>
    <x v="4"/>
    <s v="P1003"/>
    <x v="15"/>
    <x v="0"/>
    <n v="7"/>
    <n v="1799"/>
    <n v="10704.05"/>
    <x v="733"/>
    <x v="4"/>
    <x v="0"/>
    <x v="0"/>
  </r>
  <r>
    <s v="ORD00736"/>
    <x v="313"/>
    <s v="C0119"/>
    <x v="30"/>
    <x v="12"/>
    <x v="3"/>
    <s v="P1005"/>
    <x v="0"/>
    <x v="0"/>
    <n v="8"/>
    <n v="4199"/>
    <n v="26873.599999999999"/>
    <x v="734"/>
    <x v="3"/>
    <x v="0"/>
    <x v="0"/>
  </r>
  <r>
    <s v="ORD00737"/>
    <x v="143"/>
    <s v="C0123"/>
    <x v="103"/>
    <x v="4"/>
    <x v="2"/>
    <s v="P1005"/>
    <x v="0"/>
    <x v="0"/>
    <n v="3"/>
    <n v="4399"/>
    <n v="12537.15"/>
    <x v="735"/>
    <x v="0"/>
    <x v="0"/>
    <x v="0"/>
  </r>
  <r>
    <s v="ORD00738"/>
    <x v="161"/>
    <s v="C0142"/>
    <x v="10"/>
    <x v="2"/>
    <x v="1"/>
    <s v="P1002"/>
    <x v="14"/>
    <x v="0"/>
    <n v="2"/>
    <n v="2624"/>
    <n v="4723.2"/>
    <x v="736"/>
    <x v="4"/>
    <x v="0"/>
    <x v="2"/>
  </r>
  <r>
    <s v="ORD00739"/>
    <x v="314"/>
    <s v="C0091"/>
    <x v="34"/>
    <x v="5"/>
    <x v="3"/>
    <s v="P1019"/>
    <x v="1"/>
    <x v="1"/>
    <n v="2"/>
    <n v="1679"/>
    <n v="3358"/>
    <x v="737"/>
    <x v="4"/>
    <x v="0"/>
    <x v="2"/>
  </r>
  <r>
    <s v="ORD00740"/>
    <x v="193"/>
    <s v="C0012"/>
    <x v="21"/>
    <x v="2"/>
    <x v="1"/>
    <s v="P1014"/>
    <x v="8"/>
    <x v="4"/>
    <n v="5"/>
    <n v="6499"/>
    <n v="27620.75"/>
    <x v="738"/>
    <x v="4"/>
    <x v="0"/>
    <x v="0"/>
  </r>
  <r>
    <s v="ORD00741"/>
    <x v="313"/>
    <s v="C0048"/>
    <x v="20"/>
    <x v="16"/>
    <x v="6"/>
    <s v="P1006"/>
    <x v="16"/>
    <x v="2"/>
    <n v="2"/>
    <n v="769"/>
    <n v="1307.3"/>
    <x v="739"/>
    <x v="3"/>
    <x v="0"/>
    <x v="2"/>
  </r>
  <r>
    <s v="ORD00742"/>
    <x v="224"/>
    <s v="C0102"/>
    <x v="80"/>
    <x v="9"/>
    <x v="1"/>
    <s v="P1001"/>
    <x v="6"/>
    <x v="0"/>
    <n v="3"/>
    <n v="659"/>
    <n v="1779.3"/>
    <x v="740"/>
    <x v="4"/>
    <x v="2"/>
    <x v="2"/>
  </r>
  <r>
    <s v="ORD00743"/>
    <x v="195"/>
    <s v="C0125"/>
    <x v="123"/>
    <x v="4"/>
    <x v="2"/>
    <s v="P1020"/>
    <x v="12"/>
    <x v="3"/>
    <n v="6"/>
    <n v="604"/>
    <n v="2899.2"/>
    <x v="741"/>
    <x v="4"/>
    <x v="3"/>
    <x v="2"/>
  </r>
  <r>
    <s v="ORD00744"/>
    <x v="315"/>
    <s v="C0035"/>
    <x v="35"/>
    <x v="14"/>
    <x v="1"/>
    <s v="P1007"/>
    <x v="13"/>
    <x v="2"/>
    <n v="2"/>
    <n v="2069"/>
    <n v="3310.4"/>
    <x v="742"/>
    <x v="3"/>
    <x v="0"/>
    <x v="2"/>
  </r>
  <r>
    <s v="ORD00745"/>
    <x v="67"/>
    <s v="C0167"/>
    <x v="12"/>
    <x v="12"/>
    <x v="3"/>
    <s v="P1014"/>
    <x v="8"/>
    <x v="4"/>
    <n v="4"/>
    <n v="5849"/>
    <n v="22226.2"/>
    <x v="743"/>
    <x v="1"/>
    <x v="0"/>
    <x v="0"/>
  </r>
  <r>
    <s v="ORD00746"/>
    <x v="249"/>
    <s v="C0043"/>
    <x v="29"/>
    <x v="8"/>
    <x v="6"/>
    <s v="P1015"/>
    <x v="4"/>
    <x v="4"/>
    <n v="8"/>
    <n v="7999"/>
    <n v="63992"/>
    <x v="744"/>
    <x v="0"/>
    <x v="0"/>
    <x v="0"/>
  </r>
  <r>
    <s v="ORD00747"/>
    <x v="180"/>
    <s v="C0101"/>
    <x v="138"/>
    <x v="1"/>
    <x v="1"/>
    <s v="P1011"/>
    <x v="3"/>
    <x v="3"/>
    <n v="1"/>
    <n v="809"/>
    <n v="647.20000000000005"/>
    <x v="745"/>
    <x v="4"/>
    <x v="1"/>
    <x v="2"/>
  </r>
  <r>
    <s v="ORD00748"/>
    <x v="19"/>
    <s v="C0153"/>
    <x v="2"/>
    <x v="7"/>
    <x v="5"/>
    <s v="P1010"/>
    <x v="7"/>
    <x v="3"/>
    <n v="1"/>
    <n v="3299"/>
    <n v="2969.1"/>
    <x v="746"/>
    <x v="0"/>
    <x v="0"/>
    <x v="2"/>
  </r>
  <r>
    <s v="ORD00749"/>
    <x v="235"/>
    <s v="C0060"/>
    <x v="79"/>
    <x v="1"/>
    <x v="1"/>
    <s v="P1017"/>
    <x v="17"/>
    <x v="6"/>
    <n v="1"/>
    <n v="1899"/>
    <n v="1614.15"/>
    <x v="747"/>
    <x v="3"/>
    <x v="0"/>
    <x v="2"/>
  </r>
  <r>
    <s v="ORD00750"/>
    <x v="218"/>
    <s v="C0122"/>
    <x v="39"/>
    <x v="9"/>
    <x v="1"/>
    <s v="P1016"/>
    <x v="10"/>
    <x v="6"/>
    <n v="6"/>
    <n v="999"/>
    <n v="4795.2"/>
    <x v="748"/>
    <x v="1"/>
    <x v="0"/>
    <x v="2"/>
  </r>
  <r>
    <s v="ORD00751"/>
    <x v="316"/>
    <s v="C0089"/>
    <x v="94"/>
    <x v="15"/>
    <x v="9"/>
    <s v="P1008"/>
    <x v="2"/>
    <x v="2"/>
    <n v="4"/>
    <n v="1364"/>
    <n v="4364.8"/>
    <x v="749"/>
    <x v="0"/>
    <x v="3"/>
    <x v="2"/>
  </r>
  <r>
    <s v="ORD00752"/>
    <x v="164"/>
    <s v="C0120"/>
    <x v="88"/>
    <x v="8"/>
    <x v="6"/>
    <s v="P1010"/>
    <x v="7"/>
    <x v="3"/>
    <n v="7"/>
    <n v="3299"/>
    <n v="18474.400000000001"/>
    <x v="750"/>
    <x v="2"/>
    <x v="3"/>
    <x v="0"/>
  </r>
  <r>
    <s v="ORD00753"/>
    <x v="191"/>
    <s v="C0054"/>
    <x v="110"/>
    <x v="4"/>
    <x v="2"/>
    <s v="P1003"/>
    <x v="15"/>
    <x v="0"/>
    <n v="8"/>
    <n v="1799"/>
    <n v="14392"/>
    <x v="751"/>
    <x v="0"/>
    <x v="0"/>
    <x v="0"/>
  </r>
  <r>
    <s v="ORD00754"/>
    <x v="223"/>
    <s v="C0078"/>
    <x v="6"/>
    <x v="12"/>
    <x v="3"/>
    <s v="P1007"/>
    <x v="13"/>
    <x v="2"/>
    <n v="1"/>
    <n v="2069"/>
    <n v="1965.55"/>
    <x v="752"/>
    <x v="2"/>
    <x v="0"/>
    <x v="2"/>
  </r>
  <r>
    <s v="ORD00755"/>
    <x v="149"/>
    <s v="C0009"/>
    <x v="102"/>
    <x v="2"/>
    <x v="1"/>
    <s v="P1011"/>
    <x v="3"/>
    <x v="3"/>
    <n v="7"/>
    <n v="809"/>
    <n v="4813.55"/>
    <x v="753"/>
    <x v="0"/>
    <x v="0"/>
    <x v="2"/>
  </r>
  <r>
    <s v="ORD00756"/>
    <x v="313"/>
    <s v="C0091"/>
    <x v="34"/>
    <x v="1"/>
    <x v="1"/>
    <s v="P1018"/>
    <x v="18"/>
    <x v="1"/>
    <n v="5"/>
    <n v="799"/>
    <n v="3196"/>
    <x v="754"/>
    <x v="0"/>
    <x v="0"/>
    <x v="2"/>
  </r>
  <r>
    <s v="ORD00757"/>
    <x v="317"/>
    <s v="C0113"/>
    <x v="26"/>
    <x v="15"/>
    <x v="9"/>
    <s v="P1004"/>
    <x v="11"/>
    <x v="0"/>
    <n v="2"/>
    <n v="1574"/>
    <n v="2675.8"/>
    <x v="755"/>
    <x v="3"/>
    <x v="3"/>
    <x v="2"/>
  </r>
  <r>
    <s v="ORD00758"/>
    <x v="36"/>
    <s v="C0027"/>
    <x v="35"/>
    <x v="10"/>
    <x v="6"/>
    <s v="P1004"/>
    <x v="11"/>
    <x v="0"/>
    <n v="4"/>
    <n v="1499"/>
    <n v="5996"/>
    <x v="756"/>
    <x v="4"/>
    <x v="3"/>
    <x v="1"/>
  </r>
  <r>
    <s v="ORD00759"/>
    <x v="318"/>
    <s v="C0040"/>
    <x v="7"/>
    <x v="17"/>
    <x v="7"/>
    <s v="P1011"/>
    <x v="3"/>
    <x v="3"/>
    <n v="3"/>
    <n v="809"/>
    <n v="2427"/>
    <x v="757"/>
    <x v="4"/>
    <x v="3"/>
    <x v="2"/>
  </r>
  <r>
    <s v="ORD00760"/>
    <x v="319"/>
    <s v="C0122"/>
    <x v="39"/>
    <x v="11"/>
    <x v="7"/>
    <s v="P1010"/>
    <x v="7"/>
    <x v="3"/>
    <n v="3"/>
    <n v="2969"/>
    <n v="8461.65"/>
    <x v="758"/>
    <x v="4"/>
    <x v="0"/>
    <x v="1"/>
  </r>
  <r>
    <s v="ORD00761"/>
    <x v="319"/>
    <s v="C0039"/>
    <x v="52"/>
    <x v="3"/>
    <x v="0"/>
    <s v="P1014"/>
    <x v="8"/>
    <x v="4"/>
    <n v="4"/>
    <n v="6499"/>
    <n v="23396.400000000001"/>
    <x v="759"/>
    <x v="4"/>
    <x v="2"/>
    <x v="0"/>
  </r>
  <r>
    <s v="ORD00762"/>
    <x v="11"/>
    <s v="C0093"/>
    <x v="132"/>
    <x v="14"/>
    <x v="1"/>
    <s v="P1015"/>
    <x v="4"/>
    <x v="4"/>
    <n v="3"/>
    <n v="7199"/>
    <n v="17277.599999999999"/>
    <x v="760"/>
    <x v="3"/>
    <x v="0"/>
    <x v="0"/>
  </r>
  <r>
    <s v="ORD00763"/>
    <x v="303"/>
    <s v="C0043"/>
    <x v="29"/>
    <x v="6"/>
    <x v="4"/>
    <s v="P1002"/>
    <x v="14"/>
    <x v="0"/>
    <n v="7"/>
    <n v="2249"/>
    <n v="12594.4"/>
    <x v="761"/>
    <x v="1"/>
    <x v="2"/>
    <x v="0"/>
  </r>
  <r>
    <s v="ORD00764"/>
    <x v="119"/>
    <s v="C0170"/>
    <x v="0"/>
    <x v="3"/>
    <x v="0"/>
    <s v="P1010"/>
    <x v="7"/>
    <x v="3"/>
    <n v="7"/>
    <n v="3299"/>
    <n v="18474.400000000001"/>
    <x v="762"/>
    <x v="2"/>
    <x v="0"/>
    <x v="0"/>
  </r>
  <r>
    <s v="ORD00765"/>
    <x v="129"/>
    <s v="C0003"/>
    <x v="99"/>
    <x v="5"/>
    <x v="3"/>
    <s v="P1017"/>
    <x v="17"/>
    <x v="6"/>
    <n v="3"/>
    <n v="2089"/>
    <n v="5640.3"/>
    <x v="763"/>
    <x v="1"/>
    <x v="2"/>
    <x v="1"/>
  </r>
  <r>
    <s v="ORD00766"/>
    <x v="175"/>
    <s v="C0167"/>
    <x v="12"/>
    <x v="15"/>
    <x v="9"/>
    <s v="P1012"/>
    <x v="9"/>
    <x v="5"/>
    <n v="7"/>
    <n v="249"/>
    <n v="1655.85"/>
    <x v="764"/>
    <x v="0"/>
    <x v="0"/>
    <x v="2"/>
  </r>
  <r>
    <s v="ORD00767"/>
    <x v="315"/>
    <s v="C0134"/>
    <x v="136"/>
    <x v="7"/>
    <x v="5"/>
    <s v="P1010"/>
    <x v="7"/>
    <x v="3"/>
    <n v="4"/>
    <n v="2969"/>
    <n v="10094.6"/>
    <x v="765"/>
    <x v="0"/>
    <x v="0"/>
    <x v="0"/>
  </r>
  <r>
    <s v="ORD00768"/>
    <x v="173"/>
    <s v="C0006"/>
    <x v="134"/>
    <x v="14"/>
    <x v="1"/>
    <s v="P1018"/>
    <x v="18"/>
    <x v="1"/>
    <n v="5"/>
    <n v="799"/>
    <n v="3795.25"/>
    <x v="766"/>
    <x v="0"/>
    <x v="0"/>
    <x v="2"/>
  </r>
  <r>
    <s v="ORD00769"/>
    <x v="87"/>
    <s v="C0067"/>
    <x v="127"/>
    <x v="3"/>
    <x v="0"/>
    <s v="P1012"/>
    <x v="9"/>
    <x v="5"/>
    <n v="2"/>
    <n v="224"/>
    <n v="358.4"/>
    <x v="767"/>
    <x v="4"/>
    <x v="0"/>
    <x v="2"/>
  </r>
  <r>
    <s v="ORD00770"/>
    <x v="224"/>
    <s v="C0117"/>
    <x v="75"/>
    <x v="11"/>
    <x v="7"/>
    <s v="P1008"/>
    <x v="2"/>
    <x v="2"/>
    <n v="4"/>
    <n v="1299"/>
    <n v="4936.2"/>
    <x v="768"/>
    <x v="0"/>
    <x v="0"/>
    <x v="2"/>
  </r>
  <r>
    <s v="ORD00771"/>
    <x v="248"/>
    <s v="C0134"/>
    <x v="136"/>
    <x v="12"/>
    <x v="3"/>
    <s v="P1004"/>
    <x v="11"/>
    <x v="0"/>
    <n v="6"/>
    <n v="1574"/>
    <n v="8027.4"/>
    <x v="769"/>
    <x v="2"/>
    <x v="0"/>
    <x v="1"/>
  </r>
  <r>
    <s v="ORD00772"/>
    <x v="187"/>
    <s v="C0109"/>
    <x v="0"/>
    <x v="6"/>
    <x v="4"/>
    <s v="P1003"/>
    <x v="15"/>
    <x v="0"/>
    <n v="2"/>
    <n v="1619"/>
    <n v="2914.2"/>
    <x v="770"/>
    <x v="4"/>
    <x v="0"/>
    <x v="2"/>
  </r>
  <r>
    <s v="ORD00773"/>
    <x v="281"/>
    <s v="C0174"/>
    <x v="19"/>
    <x v="3"/>
    <x v="0"/>
    <s v="P1013"/>
    <x v="19"/>
    <x v="5"/>
    <n v="7"/>
    <n v="149"/>
    <n v="886.55"/>
    <x v="771"/>
    <x v="4"/>
    <x v="1"/>
    <x v="2"/>
  </r>
  <r>
    <s v="ORD00774"/>
    <x v="61"/>
    <s v="C0107"/>
    <x v="91"/>
    <x v="10"/>
    <x v="6"/>
    <s v="P1005"/>
    <x v="0"/>
    <x v="0"/>
    <n v="3"/>
    <n v="3999"/>
    <n v="9597.6"/>
    <x v="772"/>
    <x v="0"/>
    <x v="2"/>
    <x v="1"/>
  </r>
  <r>
    <s v="ORD00775"/>
    <x v="207"/>
    <s v="C0055"/>
    <x v="5"/>
    <x v="15"/>
    <x v="9"/>
    <s v="P1016"/>
    <x v="10"/>
    <x v="6"/>
    <n v="1"/>
    <n v="1099"/>
    <n v="1099"/>
    <x v="773"/>
    <x v="2"/>
    <x v="2"/>
    <x v="2"/>
  </r>
  <r>
    <s v="ORD00776"/>
    <x v="195"/>
    <s v="C0105"/>
    <x v="27"/>
    <x v="9"/>
    <x v="1"/>
    <s v="P1004"/>
    <x v="11"/>
    <x v="0"/>
    <n v="6"/>
    <n v="1574"/>
    <n v="8971.7999999999993"/>
    <x v="774"/>
    <x v="1"/>
    <x v="0"/>
    <x v="1"/>
  </r>
  <r>
    <s v="ORD00777"/>
    <x v="176"/>
    <s v="C0078"/>
    <x v="6"/>
    <x v="4"/>
    <x v="2"/>
    <s v="P1016"/>
    <x v="10"/>
    <x v="6"/>
    <n v="1"/>
    <n v="999"/>
    <n v="999"/>
    <x v="775"/>
    <x v="4"/>
    <x v="0"/>
    <x v="2"/>
  </r>
  <r>
    <s v="ORD00778"/>
    <x v="145"/>
    <s v="C0056"/>
    <x v="33"/>
    <x v="10"/>
    <x v="6"/>
    <s v="P1016"/>
    <x v="10"/>
    <x v="6"/>
    <n v="1"/>
    <n v="899"/>
    <n v="764.15"/>
    <x v="776"/>
    <x v="3"/>
    <x v="0"/>
    <x v="2"/>
  </r>
  <r>
    <s v="ORD00779"/>
    <x v="106"/>
    <s v="C0145"/>
    <x v="88"/>
    <x v="15"/>
    <x v="9"/>
    <s v="P1011"/>
    <x v="3"/>
    <x v="3"/>
    <n v="7"/>
    <n v="899"/>
    <n v="5034.3999999999996"/>
    <x v="777"/>
    <x v="1"/>
    <x v="3"/>
    <x v="1"/>
  </r>
  <r>
    <s v="ORD00780"/>
    <x v="177"/>
    <s v="C0118"/>
    <x v="92"/>
    <x v="15"/>
    <x v="9"/>
    <s v="P1015"/>
    <x v="4"/>
    <x v="4"/>
    <n v="3"/>
    <n v="8799"/>
    <n v="25077.15"/>
    <x v="778"/>
    <x v="0"/>
    <x v="0"/>
    <x v="0"/>
  </r>
  <r>
    <s v="ORD00781"/>
    <x v="157"/>
    <s v="C0060"/>
    <x v="79"/>
    <x v="13"/>
    <x v="8"/>
    <s v="P1011"/>
    <x v="3"/>
    <x v="3"/>
    <n v="1"/>
    <n v="989"/>
    <n v="890.1"/>
    <x v="779"/>
    <x v="3"/>
    <x v="2"/>
    <x v="2"/>
  </r>
  <r>
    <s v="ORD00782"/>
    <x v="21"/>
    <s v="C0147"/>
    <x v="98"/>
    <x v="4"/>
    <x v="2"/>
    <s v="P1018"/>
    <x v="18"/>
    <x v="1"/>
    <n v="2"/>
    <n v="879"/>
    <n v="1494.3"/>
    <x v="780"/>
    <x v="0"/>
    <x v="0"/>
    <x v="2"/>
  </r>
  <r>
    <s v="ORD00783"/>
    <x v="180"/>
    <s v="C0134"/>
    <x v="136"/>
    <x v="16"/>
    <x v="6"/>
    <s v="P1016"/>
    <x v="10"/>
    <x v="6"/>
    <n v="1"/>
    <n v="899"/>
    <n v="719.2"/>
    <x v="781"/>
    <x v="1"/>
    <x v="1"/>
    <x v="2"/>
  </r>
  <r>
    <s v="ORD00784"/>
    <x v="277"/>
    <s v="C0063"/>
    <x v="56"/>
    <x v="15"/>
    <x v="9"/>
    <s v="P1003"/>
    <x v="15"/>
    <x v="0"/>
    <n v="6"/>
    <n v="1799"/>
    <n v="9174.9"/>
    <x v="782"/>
    <x v="3"/>
    <x v="0"/>
    <x v="1"/>
  </r>
  <r>
    <s v="ORD00785"/>
    <x v="60"/>
    <s v="C0007"/>
    <x v="12"/>
    <x v="3"/>
    <x v="0"/>
    <s v="P1011"/>
    <x v="3"/>
    <x v="3"/>
    <n v="7"/>
    <n v="899"/>
    <n v="6293"/>
    <x v="783"/>
    <x v="3"/>
    <x v="0"/>
    <x v="1"/>
  </r>
  <r>
    <s v="ORD00786"/>
    <x v="136"/>
    <s v="C0047"/>
    <x v="71"/>
    <x v="5"/>
    <x v="3"/>
    <s v="P1003"/>
    <x v="15"/>
    <x v="0"/>
    <n v="3"/>
    <n v="1799"/>
    <n v="4857.3"/>
    <x v="784"/>
    <x v="3"/>
    <x v="0"/>
    <x v="2"/>
  </r>
  <r>
    <s v="ORD00787"/>
    <x v="262"/>
    <s v="C0007"/>
    <x v="12"/>
    <x v="1"/>
    <x v="1"/>
    <s v="P1010"/>
    <x v="7"/>
    <x v="3"/>
    <n v="7"/>
    <n v="2969"/>
    <n v="19743.849999999999"/>
    <x v="785"/>
    <x v="2"/>
    <x v="0"/>
    <x v="0"/>
  </r>
  <r>
    <s v="ORD00788"/>
    <x v="8"/>
    <s v="C0052"/>
    <x v="42"/>
    <x v="12"/>
    <x v="3"/>
    <s v="P1020"/>
    <x v="12"/>
    <x v="3"/>
    <n v="4"/>
    <n v="549"/>
    <n v="1866.6"/>
    <x v="786"/>
    <x v="4"/>
    <x v="1"/>
    <x v="2"/>
  </r>
  <r>
    <s v="ORD00789"/>
    <x v="320"/>
    <s v="C0082"/>
    <x v="115"/>
    <x v="15"/>
    <x v="9"/>
    <s v="P1018"/>
    <x v="18"/>
    <x v="1"/>
    <n v="7"/>
    <n v="719"/>
    <n v="4529.7"/>
    <x v="787"/>
    <x v="1"/>
    <x v="2"/>
    <x v="2"/>
  </r>
  <r>
    <s v="ORD00790"/>
    <x v="312"/>
    <s v="C0142"/>
    <x v="10"/>
    <x v="9"/>
    <x v="1"/>
    <s v="P1008"/>
    <x v="2"/>
    <x v="2"/>
    <n v="3"/>
    <n v="1299"/>
    <n v="3312.45"/>
    <x v="183"/>
    <x v="3"/>
    <x v="3"/>
    <x v="2"/>
  </r>
  <r>
    <s v="ORD00791"/>
    <x v="309"/>
    <s v="C0159"/>
    <x v="73"/>
    <x v="4"/>
    <x v="2"/>
    <s v="P1006"/>
    <x v="16"/>
    <x v="2"/>
    <n v="1"/>
    <n v="629"/>
    <n v="566.1"/>
    <x v="788"/>
    <x v="2"/>
    <x v="3"/>
    <x v="2"/>
  </r>
  <r>
    <s v="ORD00792"/>
    <x v="88"/>
    <s v="C0162"/>
    <x v="128"/>
    <x v="16"/>
    <x v="6"/>
    <s v="P1019"/>
    <x v="1"/>
    <x v="1"/>
    <n v="5"/>
    <n v="1439"/>
    <n v="7195"/>
    <x v="789"/>
    <x v="0"/>
    <x v="0"/>
    <x v="1"/>
  </r>
  <r>
    <s v="ORD00793"/>
    <x v="98"/>
    <s v="C0179"/>
    <x v="23"/>
    <x v="9"/>
    <x v="1"/>
    <s v="P1005"/>
    <x v="0"/>
    <x v="0"/>
    <n v="5"/>
    <n v="3999"/>
    <n v="19995"/>
    <x v="790"/>
    <x v="2"/>
    <x v="2"/>
    <x v="0"/>
  </r>
  <r>
    <s v="ORD00794"/>
    <x v="177"/>
    <s v="C0067"/>
    <x v="127"/>
    <x v="15"/>
    <x v="9"/>
    <s v="P1009"/>
    <x v="5"/>
    <x v="3"/>
    <n v="4"/>
    <n v="439"/>
    <n v="1668.2"/>
    <x v="791"/>
    <x v="4"/>
    <x v="1"/>
    <x v="2"/>
  </r>
  <r>
    <s v="ORD00795"/>
    <x v="200"/>
    <s v="C0126"/>
    <x v="95"/>
    <x v="13"/>
    <x v="8"/>
    <s v="P1018"/>
    <x v="18"/>
    <x v="1"/>
    <n v="2"/>
    <n v="879"/>
    <n v="1406.4"/>
    <x v="792"/>
    <x v="3"/>
    <x v="2"/>
    <x v="2"/>
  </r>
  <r>
    <s v="ORD00796"/>
    <x v="290"/>
    <s v="C0173"/>
    <x v="62"/>
    <x v="9"/>
    <x v="1"/>
    <s v="P1012"/>
    <x v="9"/>
    <x v="5"/>
    <n v="7"/>
    <n v="261"/>
    <n v="1735.65"/>
    <x v="793"/>
    <x v="3"/>
    <x v="0"/>
    <x v="2"/>
  </r>
  <r>
    <s v="ORD00797"/>
    <x v="14"/>
    <s v="C0114"/>
    <x v="41"/>
    <x v="14"/>
    <x v="1"/>
    <s v="P1008"/>
    <x v="2"/>
    <x v="2"/>
    <n v="1"/>
    <n v="1299"/>
    <n v="1039.2"/>
    <x v="794"/>
    <x v="2"/>
    <x v="0"/>
    <x v="2"/>
  </r>
  <r>
    <s v="ORD00798"/>
    <x v="290"/>
    <s v="C0173"/>
    <x v="62"/>
    <x v="9"/>
    <x v="1"/>
    <s v="P1012"/>
    <x v="9"/>
    <x v="5"/>
    <n v="7"/>
    <n v="261"/>
    <n v="1735.65"/>
    <x v="793"/>
    <x v="3"/>
    <x v="0"/>
    <x v="2"/>
  </r>
  <r>
    <s v="ORD00799"/>
    <x v="14"/>
    <s v="C0114"/>
    <x v="41"/>
    <x v="14"/>
    <x v="1"/>
    <s v="P1008"/>
    <x v="2"/>
    <x v="2"/>
    <n v="1"/>
    <n v="1299"/>
    <n v="1039.2"/>
    <x v="794"/>
    <x v="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7CE7FA-AB4A-4AE1-B819-D88E61895830}"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us">
  <location ref="G14:H19" firstHeaderRow="1" firstDataRow="1" firstDataCol="1"/>
  <pivotFields count="18">
    <pivotField dataField="1" showAll="0"/>
    <pivotField numFmtId="14" showAll="0">
      <items count="322">
        <item x="206"/>
        <item x="224"/>
        <item x="90"/>
        <item x="163"/>
        <item x="117"/>
        <item x="261"/>
        <item x="208"/>
        <item x="266"/>
        <item x="21"/>
        <item x="171"/>
        <item x="300"/>
        <item x="82"/>
        <item x="77"/>
        <item x="108"/>
        <item x="240"/>
        <item x="295"/>
        <item x="172"/>
        <item x="288"/>
        <item x="161"/>
        <item x="317"/>
        <item x="8"/>
        <item x="112"/>
        <item x="199"/>
        <item x="198"/>
        <item x="50"/>
        <item x="320"/>
        <item x="174"/>
        <item x="278"/>
        <item x="229"/>
        <item x="2"/>
        <item x="183"/>
        <item x="126"/>
        <item x="100"/>
        <item x="96"/>
        <item x="143"/>
        <item x="105"/>
        <item x="268"/>
        <item x="102"/>
        <item x="233"/>
        <item x="52"/>
        <item x="181"/>
        <item x="231"/>
        <item x="318"/>
        <item x="64"/>
        <item x="44"/>
        <item x="232"/>
        <item x="219"/>
        <item x="13"/>
        <item x="137"/>
        <item x="153"/>
        <item x="45"/>
        <item x="249"/>
        <item x="125"/>
        <item x="252"/>
        <item x="57"/>
        <item x="315"/>
        <item x="225"/>
        <item x="118"/>
        <item x="30"/>
        <item x="213"/>
        <item x="297"/>
        <item x="136"/>
        <item x="67"/>
        <item x="296"/>
        <item x="256"/>
        <item x="184"/>
        <item x="130"/>
        <item x="270"/>
        <item x="247"/>
        <item x="173"/>
        <item x="220"/>
        <item x="146"/>
        <item x="72"/>
        <item x="122"/>
        <item x="20"/>
        <item x="97"/>
        <item x="140"/>
        <item x="80"/>
        <item x="23"/>
        <item x="302"/>
        <item x="262"/>
        <item x="212"/>
        <item x="166"/>
        <item x="62"/>
        <item x="138"/>
        <item x="14"/>
        <item x="275"/>
        <item x="210"/>
        <item x="169"/>
        <item x="202"/>
        <item x="132"/>
        <item x="277"/>
        <item x="48"/>
        <item x="237"/>
        <item x="91"/>
        <item x="158"/>
        <item x="222"/>
        <item x="221"/>
        <item x="178"/>
        <item x="257"/>
        <item x="243"/>
        <item x="27"/>
        <item x="154"/>
        <item x="251"/>
        <item x="179"/>
        <item x="186"/>
        <item x="285"/>
        <item x="35"/>
        <item x="319"/>
        <item x="141"/>
        <item x="79"/>
        <item x="314"/>
        <item x="228"/>
        <item x="188"/>
        <item x="283"/>
        <item x="260"/>
        <item x="49"/>
        <item x="307"/>
        <item x="312"/>
        <item x="111"/>
        <item x="26"/>
        <item x="31"/>
        <item x="284"/>
        <item x="110"/>
        <item x="145"/>
        <item x="69"/>
        <item x="238"/>
        <item x="294"/>
        <item x="70"/>
        <item x="216"/>
        <item x="17"/>
        <item x="94"/>
        <item x="46"/>
        <item x="42"/>
        <item x="192"/>
        <item x="106"/>
        <item x="34"/>
        <item x="1"/>
        <item x="101"/>
        <item x="205"/>
        <item x="276"/>
        <item x="83"/>
        <item x="147"/>
        <item x="170"/>
        <item x="305"/>
        <item x="236"/>
        <item x="15"/>
        <item x="214"/>
        <item x="267"/>
        <item x="182"/>
        <item x="65"/>
        <item x="313"/>
        <item x="291"/>
        <item x="129"/>
        <item x="308"/>
        <item x="99"/>
        <item x="88"/>
        <item x="301"/>
        <item x="168"/>
        <item x="159"/>
        <item x="127"/>
        <item x="134"/>
        <item x="103"/>
        <item x="264"/>
        <item x="41"/>
        <item x="281"/>
        <item x="87"/>
        <item x="176"/>
        <item x="248"/>
        <item x="18"/>
        <item x="244"/>
        <item x="22"/>
        <item x="63"/>
        <item x="157"/>
        <item x="193"/>
        <item x="98"/>
        <item x="124"/>
        <item x="303"/>
        <item x="55"/>
        <item x="29"/>
        <item x="144"/>
        <item x="245"/>
        <item x="54"/>
        <item x="12"/>
        <item x="60"/>
        <item x="218"/>
        <item x="3"/>
        <item x="28"/>
        <item x="107"/>
        <item x="255"/>
        <item x="286"/>
        <item x="185"/>
        <item x="85"/>
        <item x="246"/>
        <item x="234"/>
        <item x="209"/>
        <item x="290"/>
        <item x="25"/>
        <item x="109"/>
        <item x="47"/>
        <item x="194"/>
        <item x="289"/>
        <item x="59"/>
        <item x="115"/>
        <item x="58"/>
        <item x="309"/>
        <item x="190"/>
        <item x="316"/>
        <item x="139"/>
        <item x="156"/>
        <item x="250"/>
        <item x="254"/>
        <item x="128"/>
        <item x="43"/>
        <item x="92"/>
        <item x="235"/>
        <item x="61"/>
        <item x="201"/>
        <item x="223"/>
        <item x="306"/>
        <item x="68"/>
        <item x="51"/>
        <item x="149"/>
        <item x="36"/>
        <item x="81"/>
        <item x="133"/>
        <item x="230"/>
        <item x="239"/>
        <item x="287"/>
        <item x="269"/>
        <item x="116"/>
        <item x="114"/>
        <item x="95"/>
        <item x="215"/>
        <item x="5"/>
        <item x="259"/>
        <item x="66"/>
        <item x="6"/>
        <item x="121"/>
        <item x="226"/>
        <item x="274"/>
        <item x="9"/>
        <item x="7"/>
        <item x="0"/>
        <item x="104"/>
        <item x="142"/>
        <item x="75"/>
        <item x="33"/>
        <item x="197"/>
        <item x="271"/>
        <item x="180"/>
        <item x="189"/>
        <item x="148"/>
        <item x="253"/>
        <item x="131"/>
        <item x="19"/>
        <item x="293"/>
        <item x="10"/>
        <item x="53"/>
        <item x="258"/>
        <item x="217"/>
        <item x="298"/>
        <item x="38"/>
        <item x="165"/>
        <item x="84"/>
        <item x="299"/>
        <item x="242"/>
        <item x="195"/>
        <item x="282"/>
        <item x="150"/>
        <item x="123"/>
        <item x="273"/>
        <item x="310"/>
        <item x="89"/>
        <item x="196"/>
        <item x="175"/>
        <item x="162"/>
        <item x="191"/>
        <item x="265"/>
        <item x="56"/>
        <item x="304"/>
        <item x="263"/>
        <item x="119"/>
        <item x="167"/>
        <item x="177"/>
        <item x="241"/>
        <item x="203"/>
        <item x="78"/>
        <item x="155"/>
        <item x="152"/>
        <item x="211"/>
        <item x="113"/>
        <item x="32"/>
        <item x="120"/>
        <item x="164"/>
        <item x="71"/>
        <item x="280"/>
        <item x="279"/>
        <item x="86"/>
        <item x="24"/>
        <item x="4"/>
        <item x="74"/>
        <item x="73"/>
        <item x="93"/>
        <item x="135"/>
        <item x="11"/>
        <item x="160"/>
        <item x="16"/>
        <item x="204"/>
        <item x="40"/>
        <item x="272"/>
        <item x="207"/>
        <item x="76"/>
        <item x="292"/>
        <item x="151"/>
        <item x="39"/>
        <item x="200"/>
        <item x="311"/>
        <item x="37"/>
        <item x="227"/>
        <item x="187"/>
        <item t="default"/>
      </items>
    </pivotField>
    <pivotField showAll="0"/>
    <pivotField showAll="0"/>
    <pivotField showAll="0">
      <items count="19">
        <item x="1"/>
        <item x="11"/>
        <item x="3"/>
        <item x="6"/>
        <item x="4"/>
        <item x="13"/>
        <item x="0"/>
        <item x="12"/>
        <item x="15"/>
        <item x="7"/>
        <item x="8"/>
        <item x="17"/>
        <item x="16"/>
        <item x="10"/>
        <item x="9"/>
        <item x="14"/>
        <item x="5"/>
        <item x="2"/>
        <item t="default"/>
      </items>
    </pivotField>
    <pivotField showAll="0"/>
    <pivotField showAll="0"/>
    <pivotField showAll="0"/>
    <pivotField showAll="0">
      <items count="8">
        <item x="1"/>
        <item x="0"/>
        <item x="2"/>
        <item x="4"/>
        <item x="3"/>
        <item x="6"/>
        <item x="5"/>
        <item t="default"/>
      </items>
    </pivotField>
    <pivotField showAll="0"/>
    <pivotField showAll="0"/>
    <pivotField numFmtId="8" showAll="0"/>
    <pivotField numFmtId="8" showAll="0"/>
    <pivotField showAll="0"/>
    <pivotField axis="axisRow" showAll="0" sortType="descending">
      <items count="6">
        <item x="2"/>
        <item x="0"/>
        <item x="3"/>
        <item x="1"/>
        <item m="1" x="4"/>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v="1"/>
    </i>
    <i>
      <x v="2"/>
    </i>
    <i>
      <x/>
    </i>
    <i>
      <x v="3"/>
    </i>
    <i t="grand">
      <x/>
    </i>
  </rowItems>
  <colItems count="1">
    <i/>
  </colItems>
  <dataFields count="1">
    <dataField name="No. Of Order" fld="0" subtotal="count" baseField="14" baseItem="0"/>
  </dataFields>
  <formats count="12">
    <format dxfId="636">
      <pivotArea type="all" dataOnly="0" outline="0" fieldPosition="0"/>
    </format>
    <format dxfId="635">
      <pivotArea outline="0" collapsedLevelsAreSubtotals="1" fieldPosition="0"/>
    </format>
    <format dxfId="634">
      <pivotArea field="14" type="button" dataOnly="0" labelOnly="1" outline="0" axis="axisRow" fieldPosition="0"/>
    </format>
    <format dxfId="633">
      <pivotArea dataOnly="0" labelOnly="1" fieldPosition="0">
        <references count="1">
          <reference field="14" count="0"/>
        </references>
      </pivotArea>
    </format>
    <format dxfId="632">
      <pivotArea dataOnly="0" labelOnly="1" grandRow="1" outline="0" fieldPosition="0"/>
    </format>
    <format dxfId="631">
      <pivotArea dataOnly="0" labelOnly="1" outline="0" axis="axisValues" fieldPosition="0"/>
    </format>
    <format dxfId="630">
      <pivotArea type="all" dataOnly="0" outline="0" fieldPosition="0"/>
    </format>
    <format dxfId="629">
      <pivotArea outline="0" collapsedLevelsAreSubtotals="1" fieldPosition="0"/>
    </format>
    <format dxfId="628">
      <pivotArea field="14" type="button" dataOnly="0" labelOnly="1" outline="0" axis="axisRow" fieldPosition="0"/>
    </format>
    <format dxfId="627">
      <pivotArea dataOnly="0" labelOnly="1" fieldPosition="0">
        <references count="1">
          <reference field="14" count="0"/>
        </references>
      </pivotArea>
    </format>
    <format dxfId="626">
      <pivotArea dataOnly="0" labelOnly="1" grandRow="1" outline="0" fieldPosition="0"/>
    </format>
    <format dxfId="625">
      <pivotArea dataOnly="0" labelOnly="1" outline="0" axis="axisValues"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4" count="1" selected="0">
            <x v="1"/>
          </reference>
        </references>
      </pivotArea>
    </chartFormat>
    <chartFormat chart="4" format="12">
      <pivotArea type="data" outline="0" fieldPosition="0">
        <references count="2">
          <reference field="4294967294" count="1" selected="0">
            <x v="0"/>
          </reference>
          <reference field="14" count="1" selected="0">
            <x v="2"/>
          </reference>
        </references>
      </pivotArea>
    </chartFormat>
    <chartFormat chart="4" format="13">
      <pivotArea type="data" outline="0" fieldPosition="0">
        <references count="2">
          <reference field="4294967294" count="1" selected="0">
            <x v="0"/>
          </reference>
          <reference field="14" count="1" selected="0">
            <x v="0"/>
          </reference>
        </references>
      </pivotArea>
    </chartFormat>
    <chartFormat chart="4"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54C7C-1FD3-455C-8F74-D2D92EB969D7}"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tate">
  <location ref="G1:H12" firstHeaderRow="1" firstDataRow="1" firstDataCol="1"/>
  <pivotFields count="18">
    <pivotField showAll="0"/>
    <pivotField numFmtId="14" showAll="0">
      <items count="322">
        <item x="206"/>
        <item x="224"/>
        <item x="90"/>
        <item x="163"/>
        <item x="117"/>
        <item x="261"/>
        <item x="208"/>
        <item x="266"/>
        <item x="21"/>
        <item x="171"/>
        <item x="300"/>
        <item x="82"/>
        <item x="77"/>
        <item x="108"/>
        <item x="240"/>
        <item x="295"/>
        <item x="172"/>
        <item x="288"/>
        <item x="161"/>
        <item x="317"/>
        <item x="8"/>
        <item x="112"/>
        <item x="199"/>
        <item x="198"/>
        <item x="50"/>
        <item x="320"/>
        <item x="174"/>
        <item x="278"/>
        <item x="229"/>
        <item x="2"/>
        <item x="183"/>
        <item x="126"/>
        <item x="100"/>
        <item x="96"/>
        <item x="143"/>
        <item x="105"/>
        <item x="268"/>
        <item x="102"/>
        <item x="233"/>
        <item x="52"/>
        <item x="181"/>
        <item x="231"/>
        <item x="318"/>
        <item x="64"/>
        <item x="44"/>
        <item x="232"/>
        <item x="219"/>
        <item x="13"/>
        <item x="137"/>
        <item x="153"/>
        <item x="45"/>
        <item x="249"/>
        <item x="125"/>
        <item x="252"/>
        <item x="57"/>
        <item x="315"/>
        <item x="225"/>
        <item x="118"/>
        <item x="30"/>
        <item x="213"/>
        <item x="297"/>
        <item x="136"/>
        <item x="67"/>
        <item x="296"/>
        <item x="256"/>
        <item x="184"/>
        <item x="130"/>
        <item x="270"/>
        <item x="247"/>
        <item x="173"/>
        <item x="220"/>
        <item x="146"/>
        <item x="72"/>
        <item x="122"/>
        <item x="20"/>
        <item x="97"/>
        <item x="140"/>
        <item x="80"/>
        <item x="23"/>
        <item x="302"/>
        <item x="262"/>
        <item x="212"/>
        <item x="166"/>
        <item x="62"/>
        <item x="138"/>
        <item x="14"/>
        <item x="275"/>
        <item x="210"/>
        <item x="169"/>
        <item x="202"/>
        <item x="132"/>
        <item x="277"/>
        <item x="48"/>
        <item x="237"/>
        <item x="91"/>
        <item x="158"/>
        <item x="222"/>
        <item x="221"/>
        <item x="178"/>
        <item x="257"/>
        <item x="243"/>
        <item x="27"/>
        <item x="154"/>
        <item x="251"/>
        <item x="179"/>
        <item x="186"/>
        <item x="285"/>
        <item x="35"/>
        <item x="319"/>
        <item x="141"/>
        <item x="79"/>
        <item x="314"/>
        <item x="228"/>
        <item x="188"/>
        <item x="283"/>
        <item x="260"/>
        <item x="49"/>
        <item x="307"/>
        <item x="312"/>
        <item x="111"/>
        <item x="26"/>
        <item x="31"/>
        <item x="284"/>
        <item x="110"/>
        <item x="145"/>
        <item x="69"/>
        <item x="238"/>
        <item x="294"/>
        <item x="70"/>
        <item x="216"/>
        <item x="17"/>
        <item x="94"/>
        <item x="46"/>
        <item x="42"/>
        <item x="192"/>
        <item x="106"/>
        <item x="34"/>
        <item x="1"/>
        <item x="101"/>
        <item x="205"/>
        <item x="276"/>
        <item x="83"/>
        <item x="147"/>
        <item x="170"/>
        <item x="305"/>
        <item x="236"/>
        <item x="15"/>
        <item x="214"/>
        <item x="267"/>
        <item x="182"/>
        <item x="65"/>
        <item x="313"/>
        <item x="291"/>
        <item x="129"/>
        <item x="308"/>
        <item x="99"/>
        <item x="88"/>
        <item x="301"/>
        <item x="168"/>
        <item x="159"/>
        <item x="127"/>
        <item x="134"/>
        <item x="103"/>
        <item x="264"/>
        <item x="41"/>
        <item x="281"/>
        <item x="87"/>
        <item x="176"/>
        <item x="248"/>
        <item x="18"/>
        <item x="244"/>
        <item x="22"/>
        <item x="63"/>
        <item x="157"/>
        <item x="193"/>
        <item x="98"/>
        <item x="124"/>
        <item x="303"/>
        <item x="55"/>
        <item x="29"/>
        <item x="144"/>
        <item x="245"/>
        <item x="54"/>
        <item x="12"/>
        <item x="60"/>
        <item x="218"/>
        <item x="3"/>
        <item x="28"/>
        <item x="107"/>
        <item x="255"/>
        <item x="286"/>
        <item x="185"/>
        <item x="85"/>
        <item x="246"/>
        <item x="234"/>
        <item x="209"/>
        <item x="290"/>
        <item x="25"/>
        <item x="109"/>
        <item x="47"/>
        <item x="194"/>
        <item x="289"/>
        <item x="59"/>
        <item x="115"/>
        <item x="58"/>
        <item x="309"/>
        <item x="190"/>
        <item x="316"/>
        <item x="139"/>
        <item x="156"/>
        <item x="250"/>
        <item x="254"/>
        <item x="128"/>
        <item x="43"/>
        <item x="92"/>
        <item x="235"/>
        <item x="61"/>
        <item x="201"/>
        <item x="223"/>
        <item x="306"/>
        <item x="68"/>
        <item x="51"/>
        <item x="149"/>
        <item x="36"/>
        <item x="81"/>
        <item x="133"/>
        <item x="230"/>
        <item x="239"/>
        <item x="287"/>
        <item x="269"/>
        <item x="116"/>
        <item x="114"/>
        <item x="95"/>
        <item x="215"/>
        <item x="5"/>
        <item x="259"/>
        <item x="66"/>
        <item x="6"/>
        <item x="121"/>
        <item x="226"/>
        <item x="274"/>
        <item x="9"/>
        <item x="7"/>
        <item x="0"/>
        <item x="104"/>
        <item x="142"/>
        <item x="75"/>
        <item x="33"/>
        <item x="197"/>
        <item x="271"/>
        <item x="180"/>
        <item x="189"/>
        <item x="148"/>
        <item x="253"/>
        <item x="131"/>
        <item x="19"/>
        <item x="293"/>
        <item x="10"/>
        <item x="53"/>
        <item x="258"/>
        <item x="217"/>
        <item x="298"/>
        <item x="38"/>
        <item x="165"/>
        <item x="84"/>
        <item x="299"/>
        <item x="242"/>
        <item x="195"/>
        <item x="282"/>
        <item x="150"/>
        <item x="123"/>
        <item x="273"/>
        <item x="310"/>
        <item x="89"/>
        <item x="196"/>
        <item x="175"/>
        <item x="162"/>
        <item x="191"/>
        <item x="265"/>
        <item x="56"/>
        <item x="304"/>
        <item x="263"/>
        <item x="119"/>
        <item x="167"/>
        <item x="177"/>
        <item x="241"/>
        <item x="203"/>
        <item x="78"/>
        <item x="155"/>
        <item x="152"/>
        <item x="211"/>
        <item x="113"/>
        <item x="32"/>
        <item x="120"/>
        <item x="164"/>
        <item x="71"/>
        <item x="280"/>
        <item x="279"/>
        <item x="86"/>
        <item x="24"/>
        <item x="4"/>
        <item x="74"/>
        <item x="73"/>
        <item x="93"/>
        <item x="135"/>
        <item x="11"/>
        <item x="160"/>
        <item x="16"/>
        <item x="204"/>
        <item x="40"/>
        <item x="272"/>
        <item x="207"/>
        <item x="76"/>
        <item x="292"/>
        <item x="151"/>
        <item x="39"/>
        <item x="200"/>
        <item x="311"/>
        <item x="37"/>
        <item x="227"/>
        <item x="187"/>
        <item t="default"/>
      </items>
    </pivotField>
    <pivotField showAll="0"/>
    <pivotField showAll="0"/>
    <pivotField showAll="0">
      <items count="19">
        <item x="1"/>
        <item x="11"/>
        <item x="3"/>
        <item x="6"/>
        <item x="4"/>
        <item x="13"/>
        <item x="0"/>
        <item x="12"/>
        <item x="15"/>
        <item x="7"/>
        <item x="8"/>
        <item x="17"/>
        <item x="16"/>
        <item x="10"/>
        <item x="9"/>
        <item x="14"/>
        <item x="5"/>
        <item x="2"/>
        <item t="default"/>
      </items>
    </pivotField>
    <pivotField axis="axisRow" showAll="0" sortType="ascending">
      <items count="11">
        <item x="2"/>
        <item x="1"/>
        <item x="7"/>
        <item x="9"/>
        <item x="0"/>
        <item x="6"/>
        <item x="3"/>
        <item x="4"/>
        <item x="8"/>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1"/>
        <item x="0"/>
        <item x="2"/>
        <item x="4"/>
        <item x="3"/>
        <item x="6"/>
        <item x="5"/>
        <item t="default"/>
      </items>
    </pivotField>
    <pivotField showAll="0"/>
    <pivotField showAll="0"/>
    <pivotField dataField="1" numFmtId="8" showAll="0"/>
    <pivotField numFmtId="8"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1">
    <i>
      <x v="3"/>
    </i>
    <i>
      <x v="7"/>
    </i>
    <i>
      <x/>
    </i>
    <i>
      <x v="9"/>
    </i>
    <i>
      <x v="8"/>
    </i>
    <i>
      <x v="4"/>
    </i>
    <i>
      <x v="6"/>
    </i>
    <i>
      <x v="2"/>
    </i>
    <i>
      <x v="1"/>
    </i>
    <i>
      <x v="5"/>
    </i>
    <i t="grand">
      <x/>
    </i>
  </rowItems>
  <colItems count="1">
    <i/>
  </colItems>
  <dataFields count="1">
    <dataField name="Total Sales" fld="11" baseField="5" baseItem="0" numFmtId="8"/>
  </dataFields>
  <formats count="12">
    <format dxfId="648">
      <pivotArea type="all" dataOnly="0" outline="0" fieldPosition="0"/>
    </format>
    <format dxfId="647">
      <pivotArea outline="0" collapsedLevelsAreSubtotals="1" fieldPosition="0"/>
    </format>
    <format dxfId="646">
      <pivotArea field="5" type="button" dataOnly="0" labelOnly="1" outline="0" axis="axisRow" fieldPosition="0"/>
    </format>
    <format dxfId="645">
      <pivotArea dataOnly="0" labelOnly="1" fieldPosition="0">
        <references count="1">
          <reference field="5" count="0"/>
        </references>
      </pivotArea>
    </format>
    <format dxfId="644">
      <pivotArea dataOnly="0" labelOnly="1" grandRow="1" outline="0" fieldPosition="0"/>
    </format>
    <format dxfId="643">
      <pivotArea dataOnly="0" labelOnly="1" outline="0" fieldPosition="0">
        <references count="1">
          <reference field="4294967294" count="1">
            <x v="0"/>
          </reference>
        </references>
      </pivotArea>
    </format>
    <format dxfId="642">
      <pivotArea type="all" dataOnly="0" outline="0" fieldPosition="0"/>
    </format>
    <format dxfId="641">
      <pivotArea outline="0" collapsedLevelsAreSubtotals="1" fieldPosition="0"/>
    </format>
    <format dxfId="640">
      <pivotArea field="5" type="button" dataOnly="0" labelOnly="1" outline="0" axis="axisRow" fieldPosition="0"/>
    </format>
    <format dxfId="639">
      <pivotArea dataOnly="0" labelOnly="1" fieldPosition="0">
        <references count="1">
          <reference field="5" count="0"/>
        </references>
      </pivotArea>
    </format>
    <format dxfId="638">
      <pivotArea dataOnly="0" labelOnly="1" grandRow="1" outline="0" fieldPosition="0"/>
    </format>
    <format dxfId="637">
      <pivotArea dataOnly="0" labelOnly="1" outline="0" fieldPosition="0">
        <references count="1">
          <reference field="4294967294" count="1">
            <x v="0"/>
          </reference>
        </references>
      </pivotArea>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8B683-A268-44BE-B97F-C80B624EF86F}"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Category">
  <location ref="D1:E9" firstHeaderRow="1" firstDataRow="1" firstDataCol="1"/>
  <pivotFields count="18">
    <pivotField dataField="1" showAll="0"/>
    <pivotField numFmtId="14" showAll="0">
      <items count="322">
        <item x="206"/>
        <item x="224"/>
        <item x="90"/>
        <item x="163"/>
        <item x="117"/>
        <item x="261"/>
        <item x="208"/>
        <item x="266"/>
        <item x="21"/>
        <item x="171"/>
        <item x="300"/>
        <item x="82"/>
        <item x="77"/>
        <item x="108"/>
        <item x="240"/>
        <item x="295"/>
        <item x="172"/>
        <item x="288"/>
        <item x="161"/>
        <item x="317"/>
        <item x="8"/>
        <item x="112"/>
        <item x="199"/>
        <item x="198"/>
        <item x="50"/>
        <item x="320"/>
        <item x="174"/>
        <item x="278"/>
        <item x="229"/>
        <item x="2"/>
        <item x="183"/>
        <item x="126"/>
        <item x="100"/>
        <item x="96"/>
        <item x="143"/>
        <item x="105"/>
        <item x="268"/>
        <item x="102"/>
        <item x="233"/>
        <item x="52"/>
        <item x="181"/>
        <item x="231"/>
        <item x="318"/>
        <item x="64"/>
        <item x="44"/>
        <item x="232"/>
        <item x="219"/>
        <item x="13"/>
        <item x="137"/>
        <item x="153"/>
        <item x="45"/>
        <item x="249"/>
        <item x="125"/>
        <item x="252"/>
        <item x="57"/>
        <item x="315"/>
        <item x="225"/>
        <item x="118"/>
        <item x="30"/>
        <item x="213"/>
        <item x="297"/>
        <item x="136"/>
        <item x="67"/>
        <item x="296"/>
        <item x="256"/>
        <item x="184"/>
        <item x="130"/>
        <item x="270"/>
        <item x="247"/>
        <item x="173"/>
        <item x="220"/>
        <item x="146"/>
        <item x="72"/>
        <item x="122"/>
        <item x="20"/>
        <item x="97"/>
        <item x="140"/>
        <item x="80"/>
        <item x="23"/>
        <item x="302"/>
        <item x="262"/>
        <item x="212"/>
        <item x="166"/>
        <item x="62"/>
        <item x="138"/>
        <item x="14"/>
        <item x="275"/>
        <item x="210"/>
        <item x="169"/>
        <item x="202"/>
        <item x="132"/>
        <item x="277"/>
        <item x="48"/>
        <item x="237"/>
        <item x="91"/>
        <item x="158"/>
        <item x="222"/>
        <item x="221"/>
        <item x="178"/>
        <item x="257"/>
        <item x="243"/>
        <item x="27"/>
        <item x="154"/>
        <item x="251"/>
        <item x="179"/>
        <item x="186"/>
        <item x="285"/>
        <item x="35"/>
        <item x="319"/>
        <item x="141"/>
        <item x="79"/>
        <item x="314"/>
        <item x="228"/>
        <item x="188"/>
        <item x="283"/>
        <item x="260"/>
        <item x="49"/>
        <item x="307"/>
        <item x="312"/>
        <item x="111"/>
        <item x="26"/>
        <item x="31"/>
        <item x="284"/>
        <item x="110"/>
        <item x="145"/>
        <item x="69"/>
        <item x="238"/>
        <item x="294"/>
        <item x="70"/>
        <item x="216"/>
        <item x="17"/>
        <item x="94"/>
        <item x="46"/>
        <item x="42"/>
        <item x="192"/>
        <item x="106"/>
        <item x="34"/>
        <item x="1"/>
        <item x="101"/>
        <item x="205"/>
        <item x="276"/>
        <item x="83"/>
        <item x="147"/>
        <item x="170"/>
        <item x="305"/>
        <item x="236"/>
        <item x="15"/>
        <item x="214"/>
        <item x="267"/>
        <item x="182"/>
        <item x="65"/>
        <item x="313"/>
        <item x="291"/>
        <item x="129"/>
        <item x="308"/>
        <item x="99"/>
        <item x="88"/>
        <item x="301"/>
        <item x="168"/>
        <item x="159"/>
        <item x="127"/>
        <item x="134"/>
        <item x="103"/>
        <item x="264"/>
        <item x="41"/>
        <item x="281"/>
        <item x="87"/>
        <item x="176"/>
        <item x="248"/>
        <item x="18"/>
        <item x="244"/>
        <item x="22"/>
        <item x="63"/>
        <item x="157"/>
        <item x="193"/>
        <item x="98"/>
        <item x="124"/>
        <item x="303"/>
        <item x="55"/>
        <item x="29"/>
        <item x="144"/>
        <item x="245"/>
        <item x="54"/>
        <item x="12"/>
        <item x="60"/>
        <item x="218"/>
        <item x="3"/>
        <item x="28"/>
        <item x="107"/>
        <item x="255"/>
        <item x="286"/>
        <item x="185"/>
        <item x="85"/>
        <item x="246"/>
        <item x="234"/>
        <item x="209"/>
        <item x="290"/>
        <item x="25"/>
        <item x="109"/>
        <item x="47"/>
        <item x="194"/>
        <item x="289"/>
        <item x="59"/>
        <item x="115"/>
        <item x="58"/>
        <item x="309"/>
        <item x="190"/>
        <item x="316"/>
        <item x="139"/>
        <item x="156"/>
        <item x="250"/>
        <item x="254"/>
        <item x="128"/>
        <item x="43"/>
        <item x="92"/>
        <item x="235"/>
        <item x="61"/>
        <item x="201"/>
        <item x="223"/>
        <item x="306"/>
        <item x="68"/>
        <item x="51"/>
        <item x="149"/>
        <item x="36"/>
        <item x="81"/>
        <item x="133"/>
        <item x="230"/>
        <item x="239"/>
        <item x="287"/>
        <item x="269"/>
        <item x="116"/>
        <item x="114"/>
        <item x="95"/>
        <item x="215"/>
        <item x="5"/>
        <item x="259"/>
        <item x="66"/>
        <item x="6"/>
        <item x="121"/>
        <item x="226"/>
        <item x="274"/>
        <item x="9"/>
        <item x="7"/>
        <item x="0"/>
        <item x="104"/>
        <item x="142"/>
        <item x="75"/>
        <item x="33"/>
        <item x="197"/>
        <item x="271"/>
        <item x="180"/>
        <item x="189"/>
        <item x="148"/>
        <item x="253"/>
        <item x="131"/>
        <item x="19"/>
        <item x="293"/>
        <item x="10"/>
        <item x="53"/>
        <item x="258"/>
        <item x="217"/>
        <item x="298"/>
        <item x="38"/>
        <item x="165"/>
        <item x="84"/>
        <item x="299"/>
        <item x="242"/>
        <item x="195"/>
        <item x="282"/>
        <item x="150"/>
        <item x="123"/>
        <item x="273"/>
        <item x="310"/>
        <item x="89"/>
        <item x="196"/>
        <item x="175"/>
        <item x="162"/>
        <item x="191"/>
        <item x="265"/>
        <item x="56"/>
        <item x="304"/>
        <item x="263"/>
        <item x="119"/>
        <item x="167"/>
        <item x="177"/>
        <item x="241"/>
        <item x="203"/>
        <item x="78"/>
        <item x="155"/>
        <item x="152"/>
        <item x="211"/>
        <item x="113"/>
        <item x="32"/>
        <item x="120"/>
        <item x="164"/>
        <item x="71"/>
        <item x="280"/>
        <item x="279"/>
        <item x="86"/>
        <item x="24"/>
        <item x="4"/>
        <item x="74"/>
        <item x="73"/>
        <item x="93"/>
        <item x="135"/>
        <item x="11"/>
        <item x="160"/>
        <item x="16"/>
        <item x="204"/>
        <item x="40"/>
        <item x="272"/>
        <item x="207"/>
        <item x="76"/>
        <item x="292"/>
        <item x="151"/>
        <item x="39"/>
        <item x="200"/>
        <item x="311"/>
        <item x="37"/>
        <item x="227"/>
        <item x="187"/>
        <item t="default"/>
      </items>
    </pivotField>
    <pivotField showAll="0"/>
    <pivotField showAll="0"/>
    <pivotField showAll="0">
      <items count="19">
        <item x="1"/>
        <item x="11"/>
        <item x="3"/>
        <item x="6"/>
        <item x="4"/>
        <item x="13"/>
        <item x="0"/>
        <item x="12"/>
        <item x="15"/>
        <item x="7"/>
        <item x="8"/>
        <item x="17"/>
        <item x="16"/>
        <item x="10"/>
        <item x="9"/>
        <item x="14"/>
        <item x="5"/>
        <item x="2"/>
        <item t="default"/>
      </items>
    </pivotField>
    <pivotField showAll="0"/>
    <pivotField showAll="0"/>
    <pivotField showAll="0"/>
    <pivotField axis="axisRow" showAll="0" sortType="ascending">
      <items count="8">
        <item x="1"/>
        <item x="0"/>
        <item x="2"/>
        <item x="4"/>
        <item x="3"/>
        <item x="6"/>
        <item x="5"/>
        <item t="default"/>
      </items>
      <autoSortScope>
        <pivotArea dataOnly="0" outline="0" fieldPosition="0">
          <references count="1">
            <reference field="4294967294" count="1" selected="0">
              <x v="0"/>
            </reference>
          </references>
        </pivotArea>
      </autoSortScope>
    </pivotField>
    <pivotField showAll="0"/>
    <pivotField showAll="0"/>
    <pivotField numFmtId="8" showAll="0"/>
    <pivotField numFmtId="8"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8">
    <i>
      <x v="6"/>
    </i>
    <i>
      <x v="5"/>
    </i>
    <i>
      <x v="3"/>
    </i>
    <i>
      <x/>
    </i>
    <i>
      <x v="2"/>
    </i>
    <i>
      <x v="4"/>
    </i>
    <i>
      <x v="1"/>
    </i>
    <i t="grand">
      <x/>
    </i>
  </rowItems>
  <colItems count="1">
    <i/>
  </colItems>
  <dataFields count="1">
    <dataField name="No. of Order" fld="0" subtotal="count" baseField="8" baseItem="6"/>
  </dataFields>
  <formats count="12">
    <format dxfId="660">
      <pivotArea type="all" dataOnly="0" outline="0" fieldPosition="0"/>
    </format>
    <format dxfId="659">
      <pivotArea outline="0" collapsedLevelsAreSubtotals="1" fieldPosition="0"/>
    </format>
    <format dxfId="658">
      <pivotArea field="8" type="button" dataOnly="0" labelOnly="1" outline="0" axis="axisRow" fieldPosition="0"/>
    </format>
    <format dxfId="657">
      <pivotArea dataOnly="0" labelOnly="1" fieldPosition="0">
        <references count="1">
          <reference field="8" count="0"/>
        </references>
      </pivotArea>
    </format>
    <format dxfId="656">
      <pivotArea dataOnly="0" labelOnly="1" grandRow="1" outline="0" fieldPosition="0"/>
    </format>
    <format dxfId="655">
      <pivotArea dataOnly="0" labelOnly="1" outline="0" axis="axisValues" fieldPosition="0"/>
    </format>
    <format dxfId="654">
      <pivotArea type="all" dataOnly="0" outline="0" fieldPosition="0"/>
    </format>
    <format dxfId="653">
      <pivotArea outline="0" collapsedLevelsAreSubtotals="1" fieldPosition="0"/>
    </format>
    <format dxfId="652">
      <pivotArea field="8" type="button" dataOnly="0" labelOnly="1" outline="0" axis="axisRow" fieldPosition="0"/>
    </format>
    <format dxfId="651">
      <pivotArea dataOnly="0" labelOnly="1" fieldPosition="0">
        <references count="1">
          <reference field="8" count="0"/>
        </references>
      </pivotArea>
    </format>
    <format dxfId="650">
      <pivotArea dataOnly="0" labelOnly="1" grandRow="1" outline="0" fieldPosition="0"/>
    </format>
    <format dxfId="649">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FCBD3B-7454-4278-BAD1-FABE2F1558C1}"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1:B14" firstHeaderRow="1" firstDataRow="1" firstDataCol="1"/>
  <pivotFields count="18">
    <pivotField showAll="0"/>
    <pivotField numFmtId="14" showAll="0">
      <items count="322">
        <item x="206"/>
        <item x="224"/>
        <item x="90"/>
        <item x="163"/>
        <item x="117"/>
        <item x="261"/>
        <item x="208"/>
        <item x="266"/>
        <item x="21"/>
        <item x="171"/>
        <item x="300"/>
        <item x="82"/>
        <item x="77"/>
        <item x="108"/>
        <item x="240"/>
        <item x="295"/>
        <item x="172"/>
        <item x="288"/>
        <item x="161"/>
        <item x="317"/>
        <item x="8"/>
        <item x="112"/>
        <item x="199"/>
        <item x="198"/>
        <item x="50"/>
        <item x="320"/>
        <item x="174"/>
        <item x="278"/>
        <item x="229"/>
        <item x="2"/>
        <item x="183"/>
        <item x="126"/>
        <item x="100"/>
        <item x="96"/>
        <item x="143"/>
        <item x="105"/>
        <item x="268"/>
        <item x="102"/>
        <item x="233"/>
        <item x="52"/>
        <item x="181"/>
        <item x="231"/>
        <item x="318"/>
        <item x="64"/>
        <item x="44"/>
        <item x="232"/>
        <item x="219"/>
        <item x="13"/>
        <item x="137"/>
        <item x="153"/>
        <item x="45"/>
        <item x="249"/>
        <item x="125"/>
        <item x="252"/>
        <item x="57"/>
        <item x="315"/>
        <item x="225"/>
        <item x="118"/>
        <item x="30"/>
        <item x="213"/>
        <item x="297"/>
        <item x="136"/>
        <item x="67"/>
        <item x="296"/>
        <item x="256"/>
        <item x="184"/>
        <item x="130"/>
        <item x="270"/>
        <item x="247"/>
        <item x="173"/>
        <item x="220"/>
        <item x="146"/>
        <item x="72"/>
        <item x="122"/>
        <item x="20"/>
        <item x="97"/>
        <item x="140"/>
        <item x="80"/>
        <item x="23"/>
        <item x="302"/>
        <item x="262"/>
        <item x="212"/>
        <item x="166"/>
        <item x="62"/>
        <item x="138"/>
        <item x="14"/>
        <item x="275"/>
        <item x="210"/>
        <item x="169"/>
        <item x="202"/>
        <item x="132"/>
        <item x="277"/>
        <item x="48"/>
        <item x="237"/>
        <item x="91"/>
        <item x="158"/>
        <item x="222"/>
        <item x="221"/>
        <item x="178"/>
        <item x="257"/>
        <item x="243"/>
        <item x="27"/>
        <item x="154"/>
        <item x="251"/>
        <item x="179"/>
        <item x="186"/>
        <item x="285"/>
        <item x="35"/>
        <item x="319"/>
        <item x="141"/>
        <item x="79"/>
        <item x="314"/>
        <item x="228"/>
        <item x="188"/>
        <item x="283"/>
        <item x="260"/>
        <item x="49"/>
        <item x="307"/>
        <item x="312"/>
        <item x="111"/>
        <item x="26"/>
        <item x="31"/>
        <item x="284"/>
        <item x="110"/>
        <item x="145"/>
        <item x="69"/>
        <item x="238"/>
        <item x="294"/>
        <item x="70"/>
        <item x="216"/>
        <item x="17"/>
        <item x="94"/>
        <item x="46"/>
        <item x="42"/>
        <item x="192"/>
        <item x="106"/>
        <item x="34"/>
        <item x="1"/>
        <item x="101"/>
        <item x="205"/>
        <item x="276"/>
        <item x="83"/>
        <item x="147"/>
        <item x="170"/>
        <item x="305"/>
        <item x="236"/>
        <item x="15"/>
        <item x="214"/>
        <item x="267"/>
        <item x="182"/>
        <item x="65"/>
        <item x="313"/>
        <item x="291"/>
        <item x="129"/>
        <item x="308"/>
        <item x="99"/>
        <item x="88"/>
        <item x="301"/>
        <item x="168"/>
        <item x="159"/>
        <item x="127"/>
        <item x="134"/>
        <item x="103"/>
        <item x="264"/>
        <item x="41"/>
        <item x="281"/>
        <item x="87"/>
        <item x="176"/>
        <item x="248"/>
        <item x="18"/>
        <item x="244"/>
        <item x="22"/>
        <item x="63"/>
        <item x="157"/>
        <item x="193"/>
        <item x="98"/>
        <item x="124"/>
        <item x="303"/>
        <item x="55"/>
        <item x="29"/>
        <item x="144"/>
        <item x="245"/>
        <item x="54"/>
        <item x="12"/>
        <item x="60"/>
        <item x="218"/>
        <item x="3"/>
        <item x="28"/>
        <item x="107"/>
        <item x="255"/>
        <item x="286"/>
        <item x="185"/>
        <item x="85"/>
        <item x="246"/>
        <item x="234"/>
        <item x="209"/>
        <item x="290"/>
        <item x="25"/>
        <item x="109"/>
        <item x="47"/>
        <item x="194"/>
        <item x="289"/>
        <item x="59"/>
        <item x="115"/>
        <item x="58"/>
        <item x="309"/>
        <item x="190"/>
        <item x="316"/>
        <item x="139"/>
        <item x="156"/>
        <item x="250"/>
        <item x="254"/>
        <item x="128"/>
        <item x="43"/>
        <item x="92"/>
        <item x="235"/>
        <item x="61"/>
        <item x="201"/>
        <item x="223"/>
        <item x="306"/>
        <item x="68"/>
        <item x="51"/>
        <item x="149"/>
        <item x="36"/>
        <item x="81"/>
        <item x="133"/>
        <item x="230"/>
        <item x="239"/>
        <item x="287"/>
        <item x="269"/>
        <item x="116"/>
        <item x="114"/>
        <item x="95"/>
        <item x="215"/>
        <item x="5"/>
        <item x="259"/>
        <item x="66"/>
        <item x="6"/>
        <item x="121"/>
        <item x="226"/>
        <item x="274"/>
        <item x="9"/>
        <item x="7"/>
        <item x="0"/>
        <item x="104"/>
        <item x="142"/>
        <item x="75"/>
        <item x="33"/>
        <item x="197"/>
        <item x="271"/>
        <item x="180"/>
        <item x="189"/>
        <item x="148"/>
        <item x="253"/>
        <item x="131"/>
        <item x="19"/>
        <item x="293"/>
        <item x="10"/>
        <item x="53"/>
        <item x="258"/>
        <item x="217"/>
        <item x="298"/>
        <item x="38"/>
        <item x="165"/>
        <item x="84"/>
        <item x="299"/>
        <item x="242"/>
        <item x="195"/>
        <item x="282"/>
        <item x="150"/>
        <item x="123"/>
        <item x="273"/>
        <item x="310"/>
        <item x="89"/>
        <item x="196"/>
        <item x="175"/>
        <item x="162"/>
        <item x="191"/>
        <item x="265"/>
        <item x="56"/>
        <item x="304"/>
        <item x="263"/>
        <item x="119"/>
        <item x="167"/>
        <item x="177"/>
        <item x="241"/>
        <item x="203"/>
        <item x="78"/>
        <item x="155"/>
        <item x="152"/>
        <item x="211"/>
        <item x="113"/>
        <item x="32"/>
        <item x="120"/>
        <item x="164"/>
        <item x="71"/>
        <item x="280"/>
        <item x="279"/>
        <item x="86"/>
        <item x="24"/>
        <item x="4"/>
        <item x="74"/>
        <item x="73"/>
        <item x="93"/>
        <item x="135"/>
        <item x="11"/>
        <item x="160"/>
        <item x="16"/>
        <item x="204"/>
        <item x="40"/>
        <item x="272"/>
        <item x="207"/>
        <item x="76"/>
        <item x="292"/>
        <item x="151"/>
        <item x="39"/>
        <item x="200"/>
        <item x="311"/>
        <item x="37"/>
        <item x="227"/>
        <item x="187"/>
        <item t="default"/>
      </items>
    </pivotField>
    <pivotField showAll="0"/>
    <pivotField showAll="0"/>
    <pivotField showAll="0">
      <items count="19">
        <item x="1"/>
        <item x="11"/>
        <item x="3"/>
        <item x="6"/>
        <item x="4"/>
        <item x="13"/>
        <item x="0"/>
        <item x="12"/>
        <item x="15"/>
        <item x="7"/>
        <item x="8"/>
        <item x="17"/>
        <item x="16"/>
        <item x="10"/>
        <item x="9"/>
        <item x="14"/>
        <item x="5"/>
        <item x="2"/>
        <item t="default"/>
      </items>
    </pivotField>
    <pivotField showAll="0"/>
    <pivotField showAll="0"/>
    <pivotField showAll="0"/>
    <pivotField showAll="0">
      <items count="8">
        <item x="1"/>
        <item x="0"/>
        <item x="2"/>
        <item x="4"/>
        <item x="3"/>
        <item x="6"/>
        <item x="5"/>
        <item t="default"/>
      </items>
    </pivotField>
    <pivotField showAll="0"/>
    <pivotField showAll="0"/>
    <pivotField dataField="1" numFmtId="8" showAll="0"/>
    <pivotField numFmtId="8"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Total Sales" fld="11" baseField="17" baseItem="1" numFmtId="8"/>
  </dataFields>
  <formats count="18">
    <format dxfId="678">
      <pivotArea type="all" dataOnly="0" outline="0" fieldPosition="0"/>
    </format>
    <format dxfId="677">
      <pivotArea outline="0" collapsedLevelsAreSubtotals="1" fieldPosition="0"/>
    </format>
    <format dxfId="676">
      <pivotArea field="17" type="button" dataOnly="0" labelOnly="1" outline="0" axis="axisRow" fieldPosition="0"/>
    </format>
    <format dxfId="675">
      <pivotArea dataOnly="0" labelOnly="1" fieldPosition="0">
        <references count="1">
          <reference field="17" count="12">
            <x v="1"/>
            <x v="2"/>
            <x v="3"/>
            <x v="4"/>
            <x v="5"/>
            <x v="6"/>
            <x v="7"/>
            <x v="8"/>
            <x v="9"/>
            <x v="10"/>
            <x v="11"/>
            <x v="12"/>
          </reference>
        </references>
      </pivotArea>
    </format>
    <format dxfId="674">
      <pivotArea dataOnly="0" labelOnly="1" grandRow="1" outline="0" fieldPosition="0"/>
    </format>
    <format dxfId="673">
      <pivotArea dataOnly="0" labelOnly="1" outline="0" axis="axisValues" fieldPosition="0"/>
    </format>
    <format dxfId="672">
      <pivotArea type="all" dataOnly="0" outline="0" fieldPosition="0"/>
    </format>
    <format dxfId="671">
      <pivotArea outline="0" collapsedLevelsAreSubtotals="1" fieldPosition="0"/>
    </format>
    <format dxfId="670">
      <pivotArea field="17" type="button" dataOnly="0" labelOnly="1" outline="0" axis="axisRow" fieldPosition="0"/>
    </format>
    <format dxfId="669">
      <pivotArea dataOnly="0" labelOnly="1" fieldPosition="0">
        <references count="1">
          <reference field="17" count="12">
            <x v="1"/>
            <x v="2"/>
            <x v="3"/>
            <x v="4"/>
            <x v="5"/>
            <x v="6"/>
            <x v="7"/>
            <x v="8"/>
            <x v="9"/>
            <x v="10"/>
            <x v="11"/>
            <x v="12"/>
          </reference>
        </references>
      </pivotArea>
    </format>
    <format dxfId="668">
      <pivotArea dataOnly="0" labelOnly="1" grandRow="1" outline="0" fieldPosition="0"/>
    </format>
    <format dxfId="667">
      <pivotArea dataOnly="0" labelOnly="1" outline="0" axis="axisValues" fieldPosition="0"/>
    </format>
    <format dxfId="666">
      <pivotArea type="all" dataOnly="0" outline="0" fieldPosition="0"/>
    </format>
    <format dxfId="665">
      <pivotArea outline="0" collapsedLevelsAreSubtotals="1" fieldPosition="0"/>
    </format>
    <format dxfId="664">
      <pivotArea field="17" type="button" dataOnly="0" labelOnly="1" outline="0" axis="axisRow" fieldPosition="0"/>
    </format>
    <format dxfId="663">
      <pivotArea dataOnly="0" labelOnly="1" fieldPosition="0">
        <references count="1">
          <reference field="17" count="12">
            <x v="1"/>
            <x v="2"/>
            <x v="3"/>
            <x v="4"/>
            <x v="5"/>
            <x v="6"/>
            <x v="7"/>
            <x v="8"/>
            <x v="9"/>
            <x v="10"/>
            <x v="11"/>
            <x v="12"/>
          </reference>
        </references>
      </pivotArea>
    </format>
    <format dxfId="662">
      <pivotArea dataOnly="0" labelOnly="1" grandRow="1" outline="0" fieldPosition="0"/>
    </format>
    <format dxfId="66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0F503E-E2FB-404F-BC10-E4B7FCD88629}"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10 Customers">
  <location ref="A17:B28" firstHeaderRow="1" firstDataRow="1" firstDataCol="1"/>
  <pivotFields count="18">
    <pivotField showAll="0"/>
    <pivotField numFmtId="14" showAll="0">
      <items count="322">
        <item x="206"/>
        <item x="224"/>
        <item x="90"/>
        <item x="163"/>
        <item x="117"/>
        <item x="261"/>
        <item x="208"/>
        <item x="266"/>
        <item x="21"/>
        <item x="171"/>
        <item x="300"/>
        <item x="82"/>
        <item x="77"/>
        <item x="108"/>
        <item x="240"/>
        <item x="295"/>
        <item x="172"/>
        <item x="288"/>
        <item x="161"/>
        <item x="317"/>
        <item x="8"/>
        <item x="112"/>
        <item x="199"/>
        <item x="198"/>
        <item x="50"/>
        <item x="320"/>
        <item x="174"/>
        <item x="278"/>
        <item x="229"/>
        <item x="2"/>
        <item x="183"/>
        <item x="126"/>
        <item x="100"/>
        <item x="96"/>
        <item x="143"/>
        <item x="105"/>
        <item x="268"/>
        <item x="102"/>
        <item x="233"/>
        <item x="52"/>
        <item x="181"/>
        <item x="231"/>
        <item x="318"/>
        <item x="64"/>
        <item x="44"/>
        <item x="232"/>
        <item x="219"/>
        <item x="13"/>
        <item x="137"/>
        <item x="153"/>
        <item x="45"/>
        <item x="249"/>
        <item x="125"/>
        <item x="252"/>
        <item x="57"/>
        <item x="315"/>
        <item x="225"/>
        <item x="118"/>
        <item x="30"/>
        <item x="213"/>
        <item x="297"/>
        <item x="136"/>
        <item x="67"/>
        <item x="296"/>
        <item x="256"/>
        <item x="184"/>
        <item x="130"/>
        <item x="270"/>
        <item x="247"/>
        <item x="173"/>
        <item x="220"/>
        <item x="146"/>
        <item x="72"/>
        <item x="122"/>
        <item x="20"/>
        <item x="97"/>
        <item x="140"/>
        <item x="80"/>
        <item x="23"/>
        <item x="302"/>
        <item x="262"/>
        <item x="212"/>
        <item x="166"/>
        <item x="62"/>
        <item x="138"/>
        <item x="14"/>
        <item x="275"/>
        <item x="210"/>
        <item x="169"/>
        <item x="202"/>
        <item x="132"/>
        <item x="277"/>
        <item x="48"/>
        <item x="237"/>
        <item x="91"/>
        <item x="158"/>
        <item x="222"/>
        <item x="221"/>
        <item x="178"/>
        <item x="257"/>
        <item x="243"/>
        <item x="27"/>
        <item x="154"/>
        <item x="251"/>
        <item x="179"/>
        <item x="186"/>
        <item x="285"/>
        <item x="35"/>
        <item x="319"/>
        <item x="141"/>
        <item x="79"/>
        <item x="314"/>
        <item x="228"/>
        <item x="188"/>
        <item x="283"/>
        <item x="260"/>
        <item x="49"/>
        <item x="307"/>
        <item x="312"/>
        <item x="111"/>
        <item x="26"/>
        <item x="31"/>
        <item x="284"/>
        <item x="110"/>
        <item x="145"/>
        <item x="69"/>
        <item x="238"/>
        <item x="294"/>
        <item x="70"/>
        <item x="216"/>
        <item x="17"/>
        <item x="94"/>
        <item x="46"/>
        <item x="42"/>
        <item x="192"/>
        <item x="106"/>
        <item x="34"/>
        <item x="1"/>
        <item x="101"/>
        <item x="205"/>
        <item x="276"/>
        <item x="83"/>
        <item x="147"/>
        <item x="170"/>
        <item x="305"/>
        <item x="236"/>
        <item x="15"/>
        <item x="214"/>
        <item x="267"/>
        <item x="182"/>
        <item x="65"/>
        <item x="313"/>
        <item x="291"/>
        <item x="129"/>
        <item x="308"/>
        <item x="99"/>
        <item x="88"/>
        <item x="301"/>
        <item x="168"/>
        <item x="159"/>
        <item x="127"/>
        <item x="134"/>
        <item x="103"/>
        <item x="264"/>
        <item x="41"/>
        <item x="281"/>
        <item x="87"/>
        <item x="176"/>
        <item x="248"/>
        <item x="18"/>
        <item x="244"/>
        <item x="22"/>
        <item x="63"/>
        <item x="157"/>
        <item x="193"/>
        <item x="98"/>
        <item x="124"/>
        <item x="303"/>
        <item x="55"/>
        <item x="29"/>
        <item x="144"/>
        <item x="245"/>
        <item x="54"/>
        <item x="12"/>
        <item x="60"/>
        <item x="218"/>
        <item x="3"/>
        <item x="28"/>
        <item x="107"/>
        <item x="255"/>
        <item x="286"/>
        <item x="185"/>
        <item x="85"/>
        <item x="246"/>
        <item x="234"/>
        <item x="209"/>
        <item x="290"/>
        <item x="25"/>
        <item x="109"/>
        <item x="47"/>
        <item x="194"/>
        <item x="289"/>
        <item x="59"/>
        <item x="115"/>
        <item x="58"/>
        <item x="309"/>
        <item x="190"/>
        <item x="316"/>
        <item x="139"/>
        <item x="156"/>
        <item x="250"/>
        <item x="254"/>
        <item x="128"/>
        <item x="43"/>
        <item x="92"/>
        <item x="235"/>
        <item x="61"/>
        <item x="201"/>
        <item x="223"/>
        <item x="306"/>
        <item x="68"/>
        <item x="51"/>
        <item x="149"/>
        <item x="36"/>
        <item x="81"/>
        <item x="133"/>
        <item x="230"/>
        <item x="239"/>
        <item x="287"/>
        <item x="269"/>
        <item x="116"/>
        <item x="114"/>
        <item x="95"/>
        <item x="215"/>
        <item x="5"/>
        <item x="259"/>
        <item x="66"/>
        <item x="6"/>
        <item x="121"/>
        <item x="226"/>
        <item x="274"/>
        <item x="9"/>
        <item x="7"/>
        <item x="0"/>
        <item x="104"/>
        <item x="142"/>
        <item x="75"/>
        <item x="33"/>
        <item x="197"/>
        <item x="271"/>
        <item x="180"/>
        <item x="189"/>
        <item x="148"/>
        <item x="253"/>
        <item x="131"/>
        <item x="19"/>
        <item x="293"/>
        <item x="10"/>
        <item x="53"/>
        <item x="258"/>
        <item x="217"/>
        <item x="298"/>
        <item x="38"/>
        <item x="165"/>
        <item x="84"/>
        <item x="299"/>
        <item x="242"/>
        <item x="195"/>
        <item x="282"/>
        <item x="150"/>
        <item x="123"/>
        <item x="273"/>
        <item x="310"/>
        <item x="89"/>
        <item x="196"/>
        <item x="175"/>
        <item x="162"/>
        <item x="191"/>
        <item x="265"/>
        <item x="56"/>
        <item x="304"/>
        <item x="263"/>
        <item x="119"/>
        <item x="167"/>
        <item x="177"/>
        <item x="241"/>
        <item x="203"/>
        <item x="78"/>
        <item x="155"/>
        <item x="152"/>
        <item x="211"/>
        <item x="113"/>
        <item x="32"/>
        <item x="120"/>
        <item x="164"/>
        <item x="71"/>
        <item x="280"/>
        <item x="279"/>
        <item x="86"/>
        <item x="24"/>
        <item x="4"/>
        <item x="74"/>
        <item x="73"/>
        <item x="93"/>
        <item x="135"/>
        <item x="11"/>
        <item x="160"/>
        <item x="16"/>
        <item x="204"/>
        <item x="40"/>
        <item x="272"/>
        <item x="207"/>
        <item x="76"/>
        <item x="292"/>
        <item x="151"/>
        <item x="39"/>
        <item x="200"/>
        <item x="311"/>
        <item x="37"/>
        <item x="227"/>
        <item x="187"/>
        <item t="default"/>
      </items>
    </pivotField>
    <pivotField showAll="0"/>
    <pivotField axis="axisRow" showAll="0" measureFilter="1" sortType="descending">
      <items count="145">
        <item x="31"/>
        <item x="79"/>
        <item x="113"/>
        <item x="8"/>
        <item x="37"/>
        <item x="76"/>
        <item x="0"/>
        <item x="106"/>
        <item x="91"/>
        <item x="55"/>
        <item x="4"/>
        <item x="111"/>
        <item x="131"/>
        <item x="68"/>
        <item x="41"/>
        <item x="77"/>
        <item x="99"/>
        <item x="140"/>
        <item x="70"/>
        <item x="44"/>
        <item x="34"/>
        <item x="125"/>
        <item x="71"/>
        <item x="110"/>
        <item x="121"/>
        <item x="36"/>
        <item x="66"/>
        <item x="92"/>
        <item x="124"/>
        <item x="142"/>
        <item x="84"/>
        <item x="33"/>
        <item x="128"/>
        <item x="38"/>
        <item x="88"/>
        <item x="3"/>
        <item x="75"/>
        <item x="12"/>
        <item x="86"/>
        <item x="127"/>
        <item x="138"/>
        <item x="74"/>
        <item x="100"/>
        <item x="29"/>
        <item x="82"/>
        <item x="90"/>
        <item x="5"/>
        <item x="69"/>
        <item x="80"/>
        <item x="89"/>
        <item x="22"/>
        <item x="52"/>
        <item x="62"/>
        <item x="61"/>
        <item x="139"/>
        <item x="87"/>
        <item x="119"/>
        <item x="42"/>
        <item x="24"/>
        <item x="7"/>
        <item x="47"/>
        <item x="53"/>
        <item x="32"/>
        <item x="15"/>
        <item x="26"/>
        <item x="98"/>
        <item x="56"/>
        <item x="136"/>
        <item x="130"/>
        <item x="107"/>
        <item x="143"/>
        <item x="2"/>
        <item x="65"/>
        <item x="35"/>
        <item x="9"/>
        <item x="10"/>
        <item x="18"/>
        <item x="83"/>
        <item x="13"/>
        <item x="114"/>
        <item x="14"/>
        <item x="60"/>
        <item x="39"/>
        <item x="21"/>
        <item x="115"/>
        <item x="46"/>
        <item x="126"/>
        <item x="133"/>
        <item x="112"/>
        <item x="19"/>
        <item x="135"/>
        <item x="30"/>
        <item x="20"/>
        <item x="67"/>
        <item x="122"/>
        <item x="134"/>
        <item x="94"/>
        <item x="72"/>
        <item x="85"/>
        <item x="58"/>
        <item x="73"/>
        <item x="51"/>
        <item x="123"/>
        <item x="93"/>
        <item x="78"/>
        <item x="137"/>
        <item x="45"/>
        <item x="40"/>
        <item x="129"/>
        <item x="95"/>
        <item x="103"/>
        <item x="120"/>
        <item x="49"/>
        <item x="108"/>
        <item x="105"/>
        <item x="43"/>
        <item x="109"/>
        <item x="104"/>
        <item x="11"/>
        <item x="1"/>
        <item x="63"/>
        <item x="118"/>
        <item x="27"/>
        <item x="57"/>
        <item x="17"/>
        <item x="116"/>
        <item x="23"/>
        <item x="117"/>
        <item x="54"/>
        <item x="132"/>
        <item x="101"/>
        <item x="25"/>
        <item x="28"/>
        <item x="96"/>
        <item x="64"/>
        <item x="50"/>
        <item x="16"/>
        <item x="97"/>
        <item x="59"/>
        <item x="81"/>
        <item x="102"/>
        <item x="6"/>
        <item x="48"/>
        <item x="141"/>
        <item t="default"/>
      </items>
      <autoSortScope>
        <pivotArea dataOnly="0" outline="0" fieldPosition="0">
          <references count="1">
            <reference field="4294967294" count="1" selected="0">
              <x v="0"/>
            </reference>
          </references>
        </pivotArea>
      </autoSortScope>
    </pivotField>
    <pivotField showAll="0">
      <items count="19">
        <item x="1"/>
        <item x="11"/>
        <item x="3"/>
        <item x="6"/>
        <item x="4"/>
        <item x="13"/>
        <item x="0"/>
        <item x="12"/>
        <item x="15"/>
        <item x="7"/>
        <item x="8"/>
        <item x="17"/>
        <item x="16"/>
        <item x="10"/>
        <item x="9"/>
        <item x="14"/>
        <item x="5"/>
        <item x="2"/>
        <item t="default"/>
      </items>
    </pivotField>
    <pivotField showAll="0"/>
    <pivotField showAll="0"/>
    <pivotField showAll="0"/>
    <pivotField showAll="0">
      <items count="8">
        <item x="1"/>
        <item x="0"/>
        <item x="2"/>
        <item x="4"/>
        <item x="3"/>
        <item x="6"/>
        <item x="5"/>
        <item t="default"/>
      </items>
    </pivotField>
    <pivotField showAll="0"/>
    <pivotField showAll="0"/>
    <pivotField dataField="1" numFmtId="8" showAll="0"/>
    <pivotField numFmtId="8"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43"/>
    </i>
    <i>
      <x v="92"/>
    </i>
    <i>
      <x v="77"/>
    </i>
    <i>
      <x v="93"/>
    </i>
    <i>
      <x v="6"/>
    </i>
    <i>
      <x v="58"/>
    </i>
    <i>
      <x v="57"/>
    </i>
    <i>
      <x v="13"/>
    </i>
    <i>
      <x v="109"/>
    </i>
    <i>
      <x v="36"/>
    </i>
    <i t="grand">
      <x/>
    </i>
  </rowItems>
  <colItems count="1">
    <i/>
  </colItems>
  <dataFields count="1">
    <dataField name="Total Sales" fld="11" baseField="3" baseItem="43" numFmtId="8"/>
  </dataFields>
  <formats count="12">
    <format dxfId="690">
      <pivotArea type="all" dataOnly="0" outline="0" fieldPosition="0"/>
    </format>
    <format dxfId="689">
      <pivotArea outline="0" collapsedLevelsAreSubtotals="1" fieldPosition="0"/>
    </format>
    <format dxfId="688">
      <pivotArea field="3" type="button" dataOnly="0" labelOnly="1" outline="0" axis="axisRow" fieldPosition="0"/>
    </format>
    <format dxfId="687">
      <pivotArea dataOnly="0" labelOnly="1" fieldPosition="0">
        <references count="1">
          <reference field="3" count="10">
            <x v="6"/>
            <x v="13"/>
            <x v="36"/>
            <x v="43"/>
            <x v="57"/>
            <x v="58"/>
            <x v="77"/>
            <x v="92"/>
            <x v="93"/>
            <x v="109"/>
          </reference>
        </references>
      </pivotArea>
    </format>
    <format dxfId="686">
      <pivotArea dataOnly="0" labelOnly="1" grandRow="1" outline="0" fieldPosition="0"/>
    </format>
    <format dxfId="685">
      <pivotArea dataOnly="0" labelOnly="1" outline="0" axis="axisValues" fieldPosition="0"/>
    </format>
    <format dxfId="684">
      <pivotArea type="all" dataOnly="0" outline="0" fieldPosition="0"/>
    </format>
    <format dxfId="683">
      <pivotArea outline="0" collapsedLevelsAreSubtotals="1" fieldPosition="0"/>
    </format>
    <format dxfId="682">
      <pivotArea field="3" type="button" dataOnly="0" labelOnly="1" outline="0" axis="axisRow" fieldPosition="0"/>
    </format>
    <format dxfId="681">
      <pivotArea dataOnly="0" labelOnly="1" fieldPosition="0">
        <references count="1">
          <reference field="3" count="10">
            <x v="6"/>
            <x v="13"/>
            <x v="36"/>
            <x v="43"/>
            <x v="57"/>
            <x v="58"/>
            <x v="77"/>
            <x v="92"/>
            <x v="93"/>
            <x v="109"/>
          </reference>
        </references>
      </pivotArea>
    </format>
    <format dxfId="680">
      <pivotArea dataOnly="0" labelOnly="1" grandRow="1" outline="0" fieldPosition="0"/>
    </format>
    <format dxfId="679">
      <pivotArea dataOnly="0" labelOnly="1" outline="0" axis="axisValues" fieldPosition="0"/>
    </format>
  </format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E078DB-E4D3-4107-AE90-13F8BEF9F697}"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ode">
  <location ref="D12:E18" firstHeaderRow="1" firstDataRow="1" firstDataCol="1"/>
  <pivotFields count="18">
    <pivotField dataField="1" showAll="0"/>
    <pivotField numFmtId="14" showAll="0">
      <items count="322">
        <item x="206"/>
        <item x="224"/>
        <item x="90"/>
        <item x="163"/>
        <item x="117"/>
        <item x="261"/>
        <item x="208"/>
        <item x="266"/>
        <item x="21"/>
        <item x="171"/>
        <item x="300"/>
        <item x="82"/>
        <item x="77"/>
        <item x="108"/>
        <item x="240"/>
        <item x="295"/>
        <item x="172"/>
        <item x="288"/>
        <item x="161"/>
        <item x="317"/>
        <item x="8"/>
        <item x="112"/>
        <item x="199"/>
        <item x="198"/>
        <item x="50"/>
        <item x="320"/>
        <item x="174"/>
        <item x="278"/>
        <item x="229"/>
        <item x="2"/>
        <item x="183"/>
        <item x="126"/>
        <item x="100"/>
        <item x="96"/>
        <item x="143"/>
        <item x="105"/>
        <item x="268"/>
        <item x="102"/>
        <item x="233"/>
        <item x="52"/>
        <item x="181"/>
        <item x="231"/>
        <item x="318"/>
        <item x="64"/>
        <item x="44"/>
        <item x="232"/>
        <item x="219"/>
        <item x="13"/>
        <item x="137"/>
        <item x="153"/>
        <item x="45"/>
        <item x="249"/>
        <item x="125"/>
        <item x="252"/>
        <item x="57"/>
        <item x="315"/>
        <item x="225"/>
        <item x="118"/>
        <item x="30"/>
        <item x="213"/>
        <item x="297"/>
        <item x="136"/>
        <item x="67"/>
        <item x="296"/>
        <item x="256"/>
        <item x="184"/>
        <item x="130"/>
        <item x="270"/>
        <item x="247"/>
        <item x="173"/>
        <item x="220"/>
        <item x="146"/>
        <item x="72"/>
        <item x="122"/>
        <item x="20"/>
        <item x="97"/>
        <item x="140"/>
        <item x="80"/>
        <item x="23"/>
        <item x="302"/>
        <item x="262"/>
        <item x="212"/>
        <item x="166"/>
        <item x="62"/>
        <item x="138"/>
        <item x="14"/>
        <item x="275"/>
        <item x="210"/>
        <item x="169"/>
        <item x="202"/>
        <item x="132"/>
        <item x="277"/>
        <item x="48"/>
        <item x="237"/>
        <item x="91"/>
        <item x="158"/>
        <item x="222"/>
        <item x="221"/>
        <item x="178"/>
        <item x="257"/>
        <item x="243"/>
        <item x="27"/>
        <item x="154"/>
        <item x="251"/>
        <item x="179"/>
        <item x="186"/>
        <item x="285"/>
        <item x="35"/>
        <item x="319"/>
        <item x="141"/>
        <item x="79"/>
        <item x="314"/>
        <item x="228"/>
        <item x="188"/>
        <item x="283"/>
        <item x="260"/>
        <item x="49"/>
        <item x="307"/>
        <item x="312"/>
        <item x="111"/>
        <item x="26"/>
        <item x="31"/>
        <item x="284"/>
        <item x="110"/>
        <item x="145"/>
        <item x="69"/>
        <item x="238"/>
        <item x="294"/>
        <item x="70"/>
        <item x="216"/>
        <item x="17"/>
        <item x="94"/>
        <item x="46"/>
        <item x="42"/>
        <item x="192"/>
        <item x="106"/>
        <item x="34"/>
        <item x="1"/>
        <item x="101"/>
        <item x="205"/>
        <item x="276"/>
        <item x="83"/>
        <item x="147"/>
        <item x="170"/>
        <item x="305"/>
        <item x="236"/>
        <item x="15"/>
        <item x="214"/>
        <item x="267"/>
        <item x="182"/>
        <item x="65"/>
        <item x="313"/>
        <item x="291"/>
        <item x="129"/>
        <item x="308"/>
        <item x="99"/>
        <item x="88"/>
        <item x="301"/>
        <item x="168"/>
        <item x="159"/>
        <item x="127"/>
        <item x="134"/>
        <item x="103"/>
        <item x="264"/>
        <item x="41"/>
        <item x="281"/>
        <item x="87"/>
        <item x="176"/>
        <item x="248"/>
        <item x="18"/>
        <item x="244"/>
        <item x="22"/>
        <item x="63"/>
        <item x="157"/>
        <item x="193"/>
        <item x="98"/>
        <item x="124"/>
        <item x="303"/>
        <item x="55"/>
        <item x="29"/>
        <item x="144"/>
        <item x="245"/>
        <item x="54"/>
        <item x="12"/>
        <item x="60"/>
        <item x="218"/>
        <item x="3"/>
        <item x="28"/>
        <item x="107"/>
        <item x="255"/>
        <item x="286"/>
        <item x="185"/>
        <item x="85"/>
        <item x="246"/>
        <item x="234"/>
        <item x="209"/>
        <item x="290"/>
        <item x="25"/>
        <item x="109"/>
        <item x="47"/>
        <item x="194"/>
        <item x="289"/>
        <item x="59"/>
        <item x="115"/>
        <item x="58"/>
        <item x="309"/>
        <item x="190"/>
        <item x="316"/>
        <item x="139"/>
        <item x="156"/>
        <item x="250"/>
        <item x="254"/>
        <item x="128"/>
        <item x="43"/>
        <item x="92"/>
        <item x="235"/>
        <item x="61"/>
        <item x="201"/>
        <item x="223"/>
        <item x="306"/>
        <item x="68"/>
        <item x="51"/>
        <item x="149"/>
        <item x="36"/>
        <item x="81"/>
        <item x="133"/>
        <item x="230"/>
        <item x="239"/>
        <item x="287"/>
        <item x="269"/>
        <item x="116"/>
        <item x="114"/>
        <item x="95"/>
        <item x="215"/>
        <item x="5"/>
        <item x="259"/>
        <item x="66"/>
        <item x="6"/>
        <item x="121"/>
        <item x="226"/>
        <item x="274"/>
        <item x="9"/>
        <item x="7"/>
        <item x="0"/>
        <item x="104"/>
        <item x="142"/>
        <item x="75"/>
        <item x="33"/>
        <item x="197"/>
        <item x="271"/>
        <item x="180"/>
        <item x="189"/>
        <item x="148"/>
        <item x="253"/>
        <item x="131"/>
        <item x="19"/>
        <item x="293"/>
        <item x="10"/>
        <item x="53"/>
        <item x="258"/>
        <item x="217"/>
        <item x="298"/>
        <item x="38"/>
        <item x="165"/>
        <item x="84"/>
        <item x="299"/>
        <item x="242"/>
        <item x="195"/>
        <item x="282"/>
        <item x="150"/>
        <item x="123"/>
        <item x="273"/>
        <item x="310"/>
        <item x="89"/>
        <item x="196"/>
        <item x="175"/>
        <item x="162"/>
        <item x="191"/>
        <item x="265"/>
        <item x="56"/>
        <item x="304"/>
        <item x="263"/>
        <item x="119"/>
        <item x="167"/>
        <item x="177"/>
        <item x="241"/>
        <item x="203"/>
        <item x="78"/>
        <item x="155"/>
        <item x="152"/>
        <item x="211"/>
        <item x="113"/>
        <item x="32"/>
        <item x="120"/>
        <item x="164"/>
        <item x="71"/>
        <item x="280"/>
        <item x="279"/>
        <item x="86"/>
        <item x="24"/>
        <item x="4"/>
        <item x="74"/>
        <item x="73"/>
        <item x="93"/>
        <item x="135"/>
        <item x="11"/>
        <item x="160"/>
        <item x="16"/>
        <item x="204"/>
        <item x="40"/>
        <item x="272"/>
        <item x="207"/>
        <item x="76"/>
        <item x="292"/>
        <item x="151"/>
        <item x="39"/>
        <item x="200"/>
        <item x="311"/>
        <item x="37"/>
        <item x="227"/>
        <item x="187"/>
        <item t="default"/>
      </items>
    </pivotField>
    <pivotField showAll="0"/>
    <pivotField showAll="0"/>
    <pivotField showAll="0">
      <items count="19">
        <item x="1"/>
        <item x="11"/>
        <item x="3"/>
        <item x="6"/>
        <item x="4"/>
        <item x="13"/>
        <item x="0"/>
        <item x="12"/>
        <item x="15"/>
        <item x="7"/>
        <item x="8"/>
        <item x="17"/>
        <item x="16"/>
        <item x="10"/>
        <item x="9"/>
        <item x="14"/>
        <item x="5"/>
        <item x="2"/>
        <item t="default"/>
      </items>
    </pivotField>
    <pivotField showAll="0"/>
    <pivotField showAll="0"/>
    <pivotField showAll="0"/>
    <pivotField showAll="0">
      <items count="8">
        <item x="1"/>
        <item x="0"/>
        <item x="2"/>
        <item x="4"/>
        <item x="3"/>
        <item x="6"/>
        <item x="5"/>
        <item t="default"/>
      </items>
    </pivotField>
    <pivotField showAll="0"/>
    <pivotField showAll="0"/>
    <pivotField numFmtId="8" showAll="0"/>
    <pivotField numFmtId="8" showAll="0"/>
    <pivotField axis="axisRow" showAll="0">
      <items count="7">
        <item x="4"/>
        <item x="1"/>
        <item x="2"/>
        <item x="0"/>
        <item m="1" x="5"/>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6">
    <i>
      <x/>
    </i>
    <i>
      <x v="1"/>
    </i>
    <i>
      <x v="2"/>
    </i>
    <i>
      <x v="3"/>
    </i>
    <i>
      <x v="5"/>
    </i>
    <i t="grand">
      <x/>
    </i>
  </rowItems>
  <colItems count="1">
    <i/>
  </colItems>
  <dataFields count="1">
    <dataField name="No. Of Order" fld="0" subtotal="count" baseField="13" baseItem="0"/>
  </dataFields>
  <formats count="12">
    <format dxfId="702">
      <pivotArea type="all" dataOnly="0" outline="0" fieldPosition="0"/>
    </format>
    <format dxfId="701">
      <pivotArea outline="0" collapsedLevelsAreSubtotals="1" fieldPosition="0"/>
    </format>
    <format dxfId="700">
      <pivotArea field="13" type="button" dataOnly="0" labelOnly="1" outline="0" axis="axisRow" fieldPosition="0"/>
    </format>
    <format dxfId="699">
      <pivotArea dataOnly="0" labelOnly="1" fieldPosition="0">
        <references count="1">
          <reference field="13" count="0"/>
        </references>
      </pivotArea>
    </format>
    <format dxfId="698">
      <pivotArea dataOnly="0" labelOnly="1" grandRow="1" outline="0" fieldPosition="0"/>
    </format>
    <format dxfId="697">
      <pivotArea dataOnly="0" labelOnly="1" outline="0" axis="axisValues" fieldPosition="0"/>
    </format>
    <format dxfId="696">
      <pivotArea type="all" dataOnly="0" outline="0" fieldPosition="0"/>
    </format>
    <format dxfId="695">
      <pivotArea outline="0" collapsedLevelsAreSubtotals="1" fieldPosition="0"/>
    </format>
    <format dxfId="694">
      <pivotArea field="13" type="button" dataOnly="0" labelOnly="1" outline="0" axis="axisRow" fieldPosition="0"/>
    </format>
    <format dxfId="693">
      <pivotArea dataOnly="0" labelOnly="1" fieldPosition="0">
        <references count="1">
          <reference field="13" count="0"/>
        </references>
      </pivotArea>
    </format>
    <format dxfId="692">
      <pivotArea dataOnly="0" labelOnly="1" grandRow="1" outline="0" fieldPosition="0"/>
    </format>
    <format dxfId="691">
      <pivotArea dataOnly="0" labelOnly="1" outline="0" axis="axisValues" fieldPosition="0"/>
    </format>
  </formats>
  <chartFormats count="6">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3" count="1" selected="0">
            <x v="0"/>
          </reference>
        </references>
      </pivotArea>
    </chartFormat>
    <chartFormat chart="5" format="12">
      <pivotArea type="data" outline="0" fieldPosition="0">
        <references count="2">
          <reference field="4294967294" count="1" selected="0">
            <x v="0"/>
          </reference>
          <reference field="13" count="1" selected="0">
            <x v="1"/>
          </reference>
        </references>
      </pivotArea>
    </chartFormat>
    <chartFormat chart="5" format="13">
      <pivotArea type="data" outline="0" fieldPosition="0">
        <references count="2">
          <reference field="4294967294" count="1" selected="0">
            <x v="0"/>
          </reference>
          <reference field="13" count="1" selected="0">
            <x v="2"/>
          </reference>
        </references>
      </pivotArea>
    </chartFormat>
    <chartFormat chart="5" format="14">
      <pivotArea type="data" outline="0" fieldPosition="0">
        <references count="2">
          <reference field="4294967294" count="1" selected="0">
            <x v="0"/>
          </reference>
          <reference field="13" count="1" selected="0">
            <x v="3"/>
          </reference>
        </references>
      </pivotArea>
    </chartFormat>
    <chartFormat chart="5" format="15">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98FE22-1F8E-4F60-97C0-DB836013FB81}"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op 10 Product">
  <location ref="K1:L12" firstHeaderRow="1" firstDataRow="1" firstDataCol="1"/>
  <pivotFields count="18">
    <pivotField showAll="0"/>
    <pivotField numFmtId="14" showAll="0">
      <items count="322">
        <item x="206"/>
        <item x="224"/>
        <item x="90"/>
        <item x="163"/>
        <item x="117"/>
        <item x="261"/>
        <item x="208"/>
        <item x="266"/>
        <item x="21"/>
        <item x="171"/>
        <item x="300"/>
        <item x="82"/>
        <item x="77"/>
        <item x="108"/>
        <item x="240"/>
        <item x="295"/>
        <item x="172"/>
        <item x="288"/>
        <item x="161"/>
        <item x="317"/>
        <item x="8"/>
        <item x="112"/>
        <item x="199"/>
        <item x="198"/>
        <item x="50"/>
        <item x="320"/>
        <item x="174"/>
        <item x="278"/>
        <item x="229"/>
        <item x="2"/>
        <item x="183"/>
        <item x="126"/>
        <item x="100"/>
        <item x="96"/>
        <item x="143"/>
        <item x="105"/>
        <item x="268"/>
        <item x="102"/>
        <item x="233"/>
        <item x="52"/>
        <item x="181"/>
        <item x="231"/>
        <item x="318"/>
        <item x="64"/>
        <item x="44"/>
        <item x="232"/>
        <item x="219"/>
        <item x="13"/>
        <item x="137"/>
        <item x="153"/>
        <item x="45"/>
        <item x="249"/>
        <item x="125"/>
        <item x="252"/>
        <item x="57"/>
        <item x="315"/>
        <item x="225"/>
        <item x="118"/>
        <item x="30"/>
        <item x="213"/>
        <item x="297"/>
        <item x="136"/>
        <item x="67"/>
        <item x="296"/>
        <item x="256"/>
        <item x="184"/>
        <item x="130"/>
        <item x="270"/>
        <item x="247"/>
        <item x="173"/>
        <item x="220"/>
        <item x="146"/>
        <item x="72"/>
        <item x="122"/>
        <item x="20"/>
        <item x="97"/>
        <item x="140"/>
        <item x="80"/>
        <item x="23"/>
        <item x="302"/>
        <item x="262"/>
        <item x="212"/>
        <item x="166"/>
        <item x="62"/>
        <item x="138"/>
        <item x="14"/>
        <item x="275"/>
        <item x="210"/>
        <item x="169"/>
        <item x="202"/>
        <item x="132"/>
        <item x="277"/>
        <item x="48"/>
        <item x="237"/>
        <item x="91"/>
        <item x="158"/>
        <item x="222"/>
        <item x="221"/>
        <item x="178"/>
        <item x="257"/>
        <item x="243"/>
        <item x="27"/>
        <item x="154"/>
        <item x="251"/>
        <item x="179"/>
        <item x="186"/>
        <item x="285"/>
        <item x="35"/>
        <item x="319"/>
        <item x="141"/>
        <item x="79"/>
        <item x="314"/>
        <item x="228"/>
        <item x="188"/>
        <item x="283"/>
        <item x="260"/>
        <item x="49"/>
        <item x="307"/>
        <item x="312"/>
        <item x="111"/>
        <item x="26"/>
        <item x="31"/>
        <item x="284"/>
        <item x="110"/>
        <item x="145"/>
        <item x="69"/>
        <item x="238"/>
        <item x="294"/>
        <item x="70"/>
        <item x="216"/>
        <item x="17"/>
        <item x="94"/>
        <item x="46"/>
        <item x="42"/>
        <item x="192"/>
        <item x="106"/>
        <item x="34"/>
        <item x="1"/>
        <item x="101"/>
        <item x="205"/>
        <item x="276"/>
        <item x="83"/>
        <item x="147"/>
        <item x="170"/>
        <item x="305"/>
        <item x="236"/>
        <item x="15"/>
        <item x="214"/>
        <item x="267"/>
        <item x="182"/>
        <item x="65"/>
        <item x="313"/>
        <item x="291"/>
        <item x="129"/>
        <item x="308"/>
        <item x="99"/>
        <item x="88"/>
        <item x="301"/>
        <item x="168"/>
        <item x="159"/>
        <item x="127"/>
        <item x="134"/>
        <item x="103"/>
        <item x="264"/>
        <item x="41"/>
        <item x="281"/>
        <item x="87"/>
        <item x="176"/>
        <item x="248"/>
        <item x="18"/>
        <item x="244"/>
        <item x="22"/>
        <item x="63"/>
        <item x="157"/>
        <item x="193"/>
        <item x="98"/>
        <item x="124"/>
        <item x="303"/>
        <item x="55"/>
        <item x="29"/>
        <item x="144"/>
        <item x="245"/>
        <item x="54"/>
        <item x="12"/>
        <item x="60"/>
        <item x="218"/>
        <item x="3"/>
        <item x="28"/>
        <item x="107"/>
        <item x="255"/>
        <item x="286"/>
        <item x="185"/>
        <item x="85"/>
        <item x="246"/>
        <item x="234"/>
        <item x="209"/>
        <item x="290"/>
        <item x="25"/>
        <item x="109"/>
        <item x="47"/>
        <item x="194"/>
        <item x="289"/>
        <item x="59"/>
        <item x="115"/>
        <item x="58"/>
        <item x="309"/>
        <item x="190"/>
        <item x="316"/>
        <item x="139"/>
        <item x="156"/>
        <item x="250"/>
        <item x="254"/>
        <item x="128"/>
        <item x="43"/>
        <item x="92"/>
        <item x="235"/>
        <item x="61"/>
        <item x="201"/>
        <item x="223"/>
        <item x="306"/>
        <item x="68"/>
        <item x="51"/>
        <item x="149"/>
        <item x="36"/>
        <item x="81"/>
        <item x="133"/>
        <item x="230"/>
        <item x="239"/>
        <item x="287"/>
        <item x="269"/>
        <item x="116"/>
        <item x="114"/>
        <item x="95"/>
        <item x="215"/>
        <item x="5"/>
        <item x="259"/>
        <item x="66"/>
        <item x="6"/>
        <item x="121"/>
        <item x="226"/>
        <item x="274"/>
        <item x="9"/>
        <item x="7"/>
        <item x="0"/>
        <item x="104"/>
        <item x="142"/>
        <item x="75"/>
        <item x="33"/>
        <item x="197"/>
        <item x="271"/>
        <item x="180"/>
        <item x="189"/>
        <item x="148"/>
        <item x="253"/>
        <item x="131"/>
        <item x="19"/>
        <item x="293"/>
        <item x="10"/>
        <item x="53"/>
        <item x="258"/>
        <item x="217"/>
        <item x="298"/>
        <item x="38"/>
        <item x="165"/>
        <item x="84"/>
        <item x="299"/>
        <item x="242"/>
        <item x="195"/>
        <item x="282"/>
        <item x="150"/>
        <item x="123"/>
        <item x="273"/>
        <item x="310"/>
        <item x="89"/>
        <item x="196"/>
        <item x="175"/>
        <item x="162"/>
        <item x="191"/>
        <item x="265"/>
        <item x="56"/>
        <item x="304"/>
        <item x="263"/>
        <item x="119"/>
        <item x="167"/>
        <item x="177"/>
        <item x="241"/>
        <item x="203"/>
        <item x="78"/>
        <item x="155"/>
        <item x="152"/>
        <item x="211"/>
        <item x="113"/>
        <item x="32"/>
        <item x="120"/>
        <item x="164"/>
        <item x="71"/>
        <item x="280"/>
        <item x="279"/>
        <item x="86"/>
        <item x="24"/>
        <item x="4"/>
        <item x="74"/>
        <item x="73"/>
        <item x="93"/>
        <item x="135"/>
        <item x="11"/>
        <item x="160"/>
        <item x="16"/>
        <item x="204"/>
        <item x="40"/>
        <item x="272"/>
        <item x="207"/>
        <item x="76"/>
        <item x="292"/>
        <item x="151"/>
        <item x="39"/>
        <item x="200"/>
        <item x="311"/>
        <item x="37"/>
        <item x="227"/>
        <item x="187"/>
        <item t="default"/>
      </items>
    </pivotField>
    <pivotField showAll="0"/>
    <pivotField showAll="0"/>
    <pivotField showAll="0">
      <items count="19">
        <item x="1"/>
        <item x="11"/>
        <item x="3"/>
        <item x="6"/>
        <item x="4"/>
        <item x="13"/>
        <item x="0"/>
        <item x="12"/>
        <item x="15"/>
        <item x="7"/>
        <item x="8"/>
        <item x="17"/>
        <item x="16"/>
        <item x="10"/>
        <item x="9"/>
        <item x="14"/>
        <item x="5"/>
        <item x="2"/>
        <item t="default"/>
      </items>
    </pivotField>
    <pivotField showAll="0"/>
    <pivotField showAll="0"/>
    <pivotField axis="axisRow" showAll="0" measureFilter="1" sortType="descending">
      <items count="21">
        <item x="2"/>
        <item x="15"/>
        <item x="7"/>
        <item x="16"/>
        <item x="17"/>
        <item x="3"/>
        <item x="18"/>
        <item x="19"/>
        <item x="1"/>
        <item x="12"/>
        <item x="14"/>
        <item x="9"/>
        <item x="8"/>
        <item x="13"/>
        <item x="0"/>
        <item x="4"/>
        <item x="11"/>
        <item x="5"/>
        <item x="6"/>
        <item x="10"/>
        <item t="default"/>
      </items>
      <autoSortScope>
        <pivotArea dataOnly="0" outline="0" fieldPosition="0">
          <references count="1">
            <reference field="4294967294" count="1" selected="0">
              <x v="0"/>
            </reference>
          </references>
        </pivotArea>
      </autoSortScope>
    </pivotField>
    <pivotField showAll="0">
      <items count="8">
        <item x="1"/>
        <item x="0"/>
        <item x="2"/>
        <item x="4"/>
        <item x="3"/>
        <item x="6"/>
        <item x="5"/>
        <item t="default"/>
      </items>
    </pivotField>
    <pivotField showAll="0"/>
    <pivotField showAll="0"/>
    <pivotField dataField="1" numFmtId="8" showAll="0"/>
    <pivotField numFmtId="8"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v="15"/>
    </i>
    <i>
      <x v="12"/>
    </i>
    <i>
      <x v="2"/>
    </i>
    <i>
      <x v="14"/>
    </i>
    <i>
      <x v="10"/>
    </i>
    <i>
      <x v="1"/>
    </i>
    <i>
      <x v="8"/>
    </i>
    <i>
      <x v="4"/>
    </i>
    <i>
      <x v="13"/>
    </i>
    <i>
      <x v="16"/>
    </i>
    <i t="grand">
      <x/>
    </i>
  </rowItems>
  <colItems count="1">
    <i/>
  </colItems>
  <dataFields count="1">
    <dataField name="Total Sales" fld="11" baseField="7" baseItem="15" numFmtId="8"/>
  </dataFields>
  <formats count="12">
    <format dxfId="714">
      <pivotArea type="all" dataOnly="0" outline="0" fieldPosition="0"/>
    </format>
    <format dxfId="713">
      <pivotArea outline="0" collapsedLevelsAreSubtotals="1" fieldPosition="0"/>
    </format>
    <format dxfId="712">
      <pivotArea field="7" type="button" dataOnly="0" labelOnly="1" outline="0" axis="axisRow" fieldPosition="0"/>
    </format>
    <format dxfId="711">
      <pivotArea dataOnly="0" labelOnly="1" fieldPosition="0">
        <references count="1">
          <reference field="7" count="10">
            <x v="1"/>
            <x v="2"/>
            <x v="4"/>
            <x v="8"/>
            <x v="10"/>
            <x v="12"/>
            <x v="13"/>
            <x v="14"/>
            <x v="15"/>
            <x v="16"/>
          </reference>
        </references>
      </pivotArea>
    </format>
    <format dxfId="710">
      <pivotArea dataOnly="0" labelOnly="1" grandRow="1" outline="0" fieldPosition="0"/>
    </format>
    <format dxfId="709">
      <pivotArea dataOnly="0" labelOnly="1" outline="0" axis="axisValues" fieldPosition="0"/>
    </format>
    <format dxfId="708">
      <pivotArea type="all" dataOnly="0" outline="0" fieldPosition="0"/>
    </format>
    <format dxfId="707">
      <pivotArea outline="0" collapsedLevelsAreSubtotals="1" fieldPosition="0"/>
    </format>
    <format dxfId="706">
      <pivotArea field="7" type="button" dataOnly="0" labelOnly="1" outline="0" axis="axisRow" fieldPosition="0"/>
    </format>
    <format dxfId="705">
      <pivotArea dataOnly="0" labelOnly="1" fieldPosition="0">
        <references count="1">
          <reference field="7" count="10">
            <x v="1"/>
            <x v="2"/>
            <x v="4"/>
            <x v="8"/>
            <x v="10"/>
            <x v="12"/>
            <x v="13"/>
            <x v="14"/>
            <x v="15"/>
            <x v="16"/>
          </reference>
        </references>
      </pivotArea>
    </format>
    <format dxfId="704">
      <pivotArea dataOnly="0" labelOnly="1" grandRow="1" outline="0" fieldPosition="0"/>
    </format>
    <format dxfId="70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5414E2-9C79-40F7-B532-C659CFF495BA}" sourceName="Category">
  <pivotTables>
    <pivotTable tabId="3" name="PivotTable2"/>
    <pivotTable tabId="3" name="PivotTable1"/>
    <pivotTable tabId="3" name="PivotTable3"/>
    <pivotTable tabId="3" name="PivotTable5"/>
    <pivotTable tabId="3" name="PivotTable6"/>
    <pivotTable tabId="3" name="PivotTable8"/>
    <pivotTable tabId="3" name="PivotTable9"/>
  </pivotTables>
  <data>
    <tabular pivotCacheId="1394463301">
      <items count="7">
        <i x="1" s="1"/>
        <i x="0" s="1"/>
        <i x="2" s="1"/>
        <i x="4"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1B6E036-9FF6-44B8-B4AA-B0E1911E6DFD}" sourceName="City">
  <pivotTables>
    <pivotTable tabId="3" name="PivotTable3"/>
    <pivotTable tabId="3" name="PivotTable1"/>
    <pivotTable tabId="3" name="PivotTable2"/>
    <pivotTable tabId="3" name="PivotTable5"/>
    <pivotTable tabId="3" name="PivotTable6"/>
    <pivotTable tabId="3" name="PivotTable8"/>
    <pivotTable tabId="3" name="PivotTable9"/>
  </pivotTables>
  <data>
    <tabular pivotCacheId="1394463301">
      <items count="18">
        <i x="1" s="1"/>
        <i x="11" s="1"/>
        <i x="3" s="1"/>
        <i x="6" s="1"/>
        <i x="4" s="1"/>
        <i x="13" s="1"/>
        <i x="0" s="1"/>
        <i x="12" s="1"/>
        <i x="15" s="1"/>
        <i x="7" s="1"/>
        <i x="8" s="1"/>
        <i x="17" s="1"/>
        <i x="16" s="1"/>
        <i x="10" s="1"/>
        <i x="9" s="1"/>
        <i x="1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2D8FADD-AA3C-4A9F-9FD8-1CE2B636018A}" cache="Slicer_Category" caption="Category" columnCount="3" rowHeight="251883"/>
  <slicer name="City" xr10:uid="{044AA7DE-01ED-425A-8BAE-43DA260DB947}" cache="Slicer_City" caption="City" columnCoun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96B464-4716-43EE-86BE-8D793294D429}" name="data" displayName="data" ref="A1:P800" totalsRowShown="0" headerRowDxfId="734" headerRowBorderDxfId="733" tableBorderDxfId="732" totalsRowBorderDxfId="731">
  <autoFilter ref="A1:P800" xr:uid="{C996B464-4716-43EE-86BE-8D793294D429}"/>
  <tableColumns count="16">
    <tableColumn id="1" xr3:uid="{2AA0D988-6985-4B97-B3FA-15D904FB09EB}" name="Order ID" dataDxfId="730"/>
    <tableColumn id="2" xr3:uid="{093CE700-DB7D-48F6-9982-62110F809599}" name="Order Date" dataDxfId="729"/>
    <tableColumn id="3" xr3:uid="{464EC8AA-579F-4828-83C1-A6DECED49264}" name="Customer ID" dataDxfId="728"/>
    <tableColumn id="4" xr3:uid="{03A04EC9-1F30-4C4F-A1DC-1AC3E58F8B96}" name="Customer Name" dataDxfId="727"/>
    <tableColumn id="5" xr3:uid="{0BE80FF2-C64E-49B3-BA6C-4B836353A360}" name="City" dataDxfId="726"/>
    <tableColumn id="6" xr3:uid="{F325426A-575B-4B4D-A772-0BE710CDF32D}" name="State" dataDxfId="725"/>
    <tableColumn id="7" xr3:uid="{20EA7A3E-E8D8-4D57-939A-F1C5DD0B4084}" name="Product ID" dataDxfId="724"/>
    <tableColumn id="8" xr3:uid="{2CC7AC86-6ECA-4395-89FD-4A7FD1A51693}" name="Product Name" dataDxfId="723"/>
    <tableColumn id="9" xr3:uid="{47463C78-58A8-4157-9EB7-491515220BEE}" name="Category" dataDxfId="722"/>
    <tableColumn id="11" xr3:uid="{9C1BE298-E6FD-4F4D-9753-CE4702346A71}" name="Quantity" dataDxfId="721"/>
    <tableColumn id="12" xr3:uid="{9B72181C-BAE1-4B14-A3B1-DE6485314A78}" name="Unit Price" dataDxfId="720"/>
    <tableColumn id="13" xr3:uid="{6EA445C0-4432-40DD-91B1-7C7B985E132D}" name="Sales Amount" dataDxfId="719"/>
    <tableColumn id="15" xr3:uid="{385E75B7-D488-4976-B1B2-9B802C85F220}" name="Profit" dataDxfId="718"/>
    <tableColumn id="16" xr3:uid="{ED9839FC-DB01-493B-9CCB-658C24AD81F4}" name="Payment Mode" dataDxfId="717"/>
    <tableColumn id="17" xr3:uid="{DCA9C5C0-4464-4077-BE37-2C9409AB7A37}" name="Order Status" dataDxfId="716"/>
    <tableColumn id="19" xr3:uid="{DF0261DD-6DE9-4251-AA08-A8F40D5EB3B0}" name="Sales Category" dataDxfId="715">
      <calculatedColumnFormula>IF(L2&gt;=10000,"High Value",IF(L2&gt;=5000,"Medium Value","Low Value"))</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EF6D96F-2116-4453-AD18-0E3203050A11}">
  <we:reference id="wa200009404" version="1.0.0.8" store="en-US" storeType="OMEX"/>
  <we:alternateReferences>
    <we:reference id="wa200009404" version="1.0.0.8" store="wa200009404" storeType="OMEX"/>
  </we:alternateReferences>
  <we:properties>
    <we:property name="claude.fileId" value="&quot;a3bab37b-cf9a-4f1d-b200-53f2b8ee8cd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94E6-531B-4B02-8128-CE2BF542504F}">
  <dimension ref="A1:P800"/>
  <sheetViews>
    <sheetView workbookViewId="0">
      <pane ySplit="1" topLeftCell="A776" activePane="bottomLeft" state="frozen"/>
      <selection activeCell="E1" sqref="E1"/>
      <selection pane="bottomLeft" activeCell="N442" sqref="N442"/>
    </sheetView>
  </sheetViews>
  <sheetFormatPr defaultRowHeight="14.5" x14ac:dyDescent="0.35"/>
  <cols>
    <col min="1" max="1" width="12.6328125" bestFit="1" customWidth="1"/>
    <col min="2" max="2" width="14.81640625" bestFit="1" customWidth="1"/>
    <col min="3" max="3" width="16.36328125" bestFit="1" customWidth="1"/>
    <col min="4" max="4" width="19.7265625" bestFit="1" customWidth="1"/>
    <col min="5" max="5" width="11.90625" customWidth="1"/>
    <col min="6" max="6" width="15.26953125" customWidth="1"/>
    <col min="7" max="7" width="14.453125" bestFit="1" customWidth="1"/>
    <col min="8" max="8" width="18.1796875" bestFit="1" customWidth="1"/>
    <col min="9" max="9" width="15.81640625" customWidth="1"/>
    <col min="10" max="10" width="12.54296875" bestFit="1" customWidth="1"/>
    <col min="11" max="11" width="14.54296875" customWidth="1"/>
    <col min="12" max="12" width="17.26953125" bestFit="1" customWidth="1"/>
    <col min="13" max="13" width="12.54296875" bestFit="1" customWidth="1"/>
    <col min="14" max="14" width="18.26953125" bestFit="1" customWidth="1"/>
    <col min="15" max="15" width="16.1796875" bestFit="1" customWidth="1"/>
    <col min="16" max="16" width="18.36328125" bestFit="1" customWidth="1"/>
  </cols>
  <sheetData>
    <row r="1" spans="1:16" s="7" customFormat="1" ht="15" x14ac:dyDescent="0.35">
      <c r="A1" s="6" t="s">
        <v>1</v>
      </c>
      <c r="B1" s="6" t="s">
        <v>2</v>
      </c>
      <c r="C1" s="6" t="s">
        <v>3</v>
      </c>
      <c r="D1" s="6" t="s">
        <v>4</v>
      </c>
      <c r="E1" s="6" t="s">
        <v>5</v>
      </c>
      <c r="F1" s="6" t="s">
        <v>6</v>
      </c>
      <c r="G1" s="6" t="s">
        <v>7</v>
      </c>
      <c r="H1" s="6" t="s">
        <v>8</v>
      </c>
      <c r="I1" s="6" t="s">
        <v>9</v>
      </c>
      <c r="J1" s="6" t="s">
        <v>10</v>
      </c>
      <c r="K1" s="6" t="s">
        <v>1214</v>
      </c>
      <c r="L1" s="6" t="s">
        <v>1215</v>
      </c>
      <c r="M1" s="6" t="s">
        <v>1216</v>
      </c>
      <c r="N1" s="6" t="s">
        <v>11</v>
      </c>
      <c r="O1" s="6" t="s">
        <v>12</v>
      </c>
      <c r="P1" s="11" t="s">
        <v>1225</v>
      </c>
    </row>
    <row r="2" spans="1:16" x14ac:dyDescent="0.35">
      <c r="A2" s="3" t="s">
        <v>13</v>
      </c>
      <c r="B2" s="4">
        <v>45942</v>
      </c>
      <c r="C2" s="1" t="s">
        <v>14</v>
      </c>
      <c r="D2" s="1" t="s">
        <v>15</v>
      </c>
      <c r="E2" s="1" t="s">
        <v>16</v>
      </c>
      <c r="F2" s="1" t="s">
        <v>17</v>
      </c>
      <c r="G2" s="1" t="s">
        <v>18</v>
      </c>
      <c r="H2" s="1" t="s">
        <v>19</v>
      </c>
      <c r="I2" s="1" t="s">
        <v>20</v>
      </c>
      <c r="J2" s="1">
        <v>4</v>
      </c>
      <c r="K2" s="5">
        <v>3999</v>
      </c>
      <c r="L2" s="5">
        <v>15996</v>
      </c>
      <c r="M2" s="5">
        <v>5328.52</v>
      </c>
      <c r="N2" s="1" t="s">
        <v>21</v>
      </c>
      <c r="O2" s="1" t="s">
        <v>22</v>
      </c>
      <c r="P2" s="1" t="str">
        <f t="shared" ref="P2:P65" si="0">IF(L2&gt;=10000,"High Value",IF(L2&gt;=5000,"Medium Value","Low Value"))</f>
        <v>High Value</v>
      </c>
    </row>
    <row r="3" spans="1:16" x14ac:dyDescent="0.35">
      <c r="A3" s="3" t="s">
        <v>23</v>
      </c>
      <c r="B3" s="4">
        <v>45818</v>
      </c>
      <c r="C3" s="1" t="s">
        <v>24</v>
      </c>
      <c r="D3" s="1" t="s">
        <v>25</v>
      </c>
      <c r="E3" s="1" t="s">
        <v>26</v>
      </c>
      <c r="F3" s="1" t="s">
        <v>27</v>
      </c>
      <c r="G3" s="1" t="s">
        <v>28</v>
      </c>
      <c r="H3" s="1" t="s">
        <v>29</v>
      </c>
      <c r="I3" s="1" t="s">
        <v>30</v>
      </c>
      <c r="J3" s="1">
        <v>8</v>
      </c>
      <c r="K3" s="5">
        <v>1679</v>
      </c>
      <c r="L3" s="5">
        <v>11417.2</v>
      </c>
      <c r="M3" s="5">
        <v>1765.5</v>
      </c>
      <c r="N3" s="1" t="s">
        <v>21</v>
      </c>
      <c r="O3" s="1" t="s">
        <v>22</v>
      </c>
      <c r="P3" s="1" t="str">
        <f t="shared" si="0"/>
        <v>High Value</v>
      </c>
    </row>
    <row r="4" spans="1:16" x14ac:dyDescent="0.35">
      <c r="A4" s="3" t="s">
        <v>31</v>
      </c>
      <c r="B4" s="4">
        <v>45693</v>
      </c>
      <c r="C4" s="1" t="s">
        <v>32</v>
      </c>
      <c r="D4" s="1" t="s">
        <v>33</v>
      </c>
      <c r="E4" s="1" t="s">
        <v>34</v>
      </c>
      <c r="F4" s="1" t="s">
        <v>27</v>
      </c>
      <c r="G4" s="1" t="s">
        <v>35</v>
      </c>
      <c r="H4" s="1" t="s">
        <v>36</v>
      </c>
      <c r="I4" s="1" t="s">
        <v>37</v>
      </c>
      <c r="J4" s="1">
        <v>7</v>
      </c>
      <c r="K4" s="5">
        <v>1169</v>
      </c>
      <c r="L4" s="5">
        <v>6955.55</v>
      </c>
      <c r="M4" s="5">
        <v>1211.43</v>
      </c>
      <c r="N4" s="1" t="s">
        <v>21</v>
      </c>
      <c r="O4" s="1" t="s">
        <v>22</v>
      </c>
      <c r="P4" s="1" t="str">
        <f t="shared" si="0"/>
        <v>Medium Value</v>
      </c>
    </row>
    <row r="5" spans="1:16" x14ac:dyDescent="0.35">
      <c r="A5" s="3" t="s">
        <v>38</v>
      </c>
      <c r="B5" s="4">
        <v>45872</v>
      </c>
      <c r="C5" s="1" t="s">
        <v>39</v>
      </c>
      <c r="D5" s="1" t="s">
        <v>40</v>
      </c>
      <c r="E5" s="1" t="s">
        <v>41</v>
      </c>
      <c r="F5" s="1" t="s">
        <v>17</v>
      </c>
      <c r="G5" s="1" t="s">
        <v>42</v>
      </c>
      <c r="H5" s="1" t="s">
        <v>43</v>
      </c>
      <c r="I5" s="1" t="s">
        <v>44</v>
      </c>
      <c r="J5" s="1">
        <v>5</v>
      </c>
      <c r="K5" s="5">
        <v>899</v>
      </c>
      <c r="L5" s="5">
        <v>3596</v>
      </c>
      <c r="M5" s="5">
        <v>998.11</v>
      </c>
      <c r="N5" s="1" t="s">
        <v>45</v>
      </c>
      <c r="O5" s="1" t="s">
        <v>22</v>
      </c>
      <c r="P5" s="1" t="str">
        <f t="shared" si="0"/>
        <v>Low Value</v>
      </c>
    </row>
    <row r="6" spans="1:16" x14ac:dyDescent="0.35">
      <c r="A6" s="3" t="s">
        <v>46</v>
      </c>
      <c r="B6" s="4">
        <v>46001</v>
      </c>
      <c r="C6" s="1" t="s">
        <v>47</v>
      </c>
      <c r="D6" s="1" t="s">
        <v>48</v>
      </c>
      <c r="E6" s="1" t="s">
        <v>49</v>
      </c>
      <c r="F6" s="1" t="s">
        <v>49</v>
      </c>
      <c r="G6" s="1" t="s">
        <v>50</v>
      </c>
      <c r="H6" s="1" t="s">
        <v>51</v>
      </c>
      <c r="I6" s="1" t="s">
        <v>52</v>
      </c>
      <c r="J6" s="1">
        <v>6</v>
      </c>
      <c r="K6" s="5">
        <v>7199</v>
      </c>
      <c r="L6" s="5">
        <v>43194</v>
      </c>
      <c r="M6" s="5">
        <v>9538.2199999999993</v>
      </c>
      <c r="N6" s="1" t="s">
        <v>21</v>
      </c>
      <c r="O6" s="1" t="s">
        <v>53</v>
      </c>
      <c r="P6" s="1" t="str">
        <f t="shared" si="0"/>
        <v>High Value</v>
      </c>
    </row>
    <row r="7" spans="1:16" x14ac:dyDescent="0.35">
      <c r="A7" s="3" t="s">
        <v>54</v>
      </c>
      <c r="B7" s="4">
        <v>45933</v>
      </c>
      <c r="C7" s="1" t="s">
        <v>55</v>
      </c>
      <c r="D7" s="1" t="s">
        <v>56</v>
      </c>
      <c r="E7" s="1" t="s">
        <v>41</v>
      </c>
      <c r="F7" s="1" t="s">
        <v>17</v>
      </c>
      <c r="G7" s="1" t="s">
        <v>57</v>
      </c>
      <c r="H7" s="1" t="s">
        <v>58</v>
      </c>
      <c r="I7" s="1" t="s">
        <v>44</v>
      </c>
      <c r="J7" s="1">
        <v>3</v>
      </c>
      <c r="K7" s="5">
        <v>399</v>
      </c>
      <c r="L7" s="5">
        <v>1197</v>
      </c>
      <c r="M7" s="5">
        <v>375.19</v>
      </c>
      <c r="N7" s="1" t="s">
        <v>59</v>
      </c>
      <c r="O7" s="1" t="s">
        <v>22</v>
      </c>
      <c r="P7" s="1" t="str">
        <f t="shared" si="0"/>
        <v>Low Value</v>
      </c>
    </row>
    <row r="8" spans="1:16" x14ac:dyDescent="0.35">
      <c r="A8" s="3" t="s">
        <v>60</v>
      </c>
      <c r="B8" s="4">
        <v>45936</v>
      </c>
      <c r="C8" s="1" t="s">
        <v>61</v>
      </c>
      <c r="D8" s="1" t="s">
        <v>62</v>
      </c>
      <c r="E8" s="1" t="s">
        <v>41</v>
      </c>
      <c r="F8" s="1" t="s">
        <v>17</v>
      </c>
      <c r="G8" s="1" t="s">
        <v>63</v>
      </c>
      <c r="H8" s="1" t="s">
        <v>64</v>
      </c>
      <c r="I8" s="1" t="s">
        <v>20</v>
      </c>
      <c r="J8" s="1">
        <v>5</v>
      </c>
      <c r="K8" s="5">
        <v>659</v>
      </c>
      <c r="L8" s="5">
        <v>3295</v>
      </c>
      <c r="M8" s="5">
        <v>1076.03</v>
      </c>
      <c r="N8" s="1" t="s">
        <v>45</v>
      </c>
      <c r="O8" s="1" t="s">
        <v>22</v>
      </c>
      <c r="P8" s="1" t="str">
        <f t="shared" si="0"/>
        <v>Low Value</v>
      </c>
    </row>
    <row r="9" spans="1:16" x14ac:dyDescent="0.35">
      <c r="A9" s="3" t="s">
        <v>65</v>
      </c>
      <c r="B9" s="4">
        <v>45941</v>
      </c>
      <c r="C9" s="1" t="s">
        <v>66</v>
      </c>
      <c r="D9" s="1" t="s">
        <v>67</v>
      </c>
      <c r="E9" s="1" t="s">
        <v>68</v>
      </c>
      <c r="F9" s="1" t="s">
        <v>69</v>
      </c>
      <c r="G9" s="1" t="s">
        <v>70</v>
      </c>
      <c r="H9" s="1" t="s">
        <v>71</v>
      </c>
      <c r="I9" s="1" t="s">
        <v>44</v>
      </c>
      <c r="J9" s="1">
        <v>4</v>
      </c>
      <c r="K9" s="5">
        <v>3629</v>
      </c>
      <c r="L9" s="5">
        <v>13790.2</v>
      </c>
      <c r="M9" s="5">
        <v>2272.5100000000002</v>
      </c>
      <c r="N9" s="1" t="s">
        <v>59</v>
      </c>
      <c r="O9" s="1" t="s">
        <v>22</v>
      </c>
      <c r="P9" s="1" t="str">
        <f t="shared" si="0"/>
        <v>High Value</v>
      </c>
    </row>
    <row r="10" spans="1:16" x14ac:dyDescent="0.35">
      <c r="A10" s="3" t="s">
        <v>72</v>
      </c>
      <c r="B10" s="4">
        <v>45684</v>
      </c>
      <c r="C10" s="1" t="s">
        <v>73</v>
      </c>
      <c r="D10" s="1" t="s">
        <v>74</v>
      </c>
      <c r="E10" s="1" t="s">
        <v>75</v>
      </c>
      <c r="F10" s="1" t="s">
        <v>76</v>
      </c>
      <c r="G10" s="1" t="s">
        <v>57</v>
      </c>
      <c r="H10" s="1" t="s">
        <v>58</v>
      </c>
      <c r="I10" s="1" t="s">
        <v>44</v>
      </c>
      <c r="J10" s="1">
        <v>1</v>
      </c>
      <c r="K10" s="5">
        <v>359</v>
      </c>
      <c r="L10" s="5">
        <v>341.05</v>
      </c>
      <c r="M10" s="5">
        <v>98.78</v>
      </c>
      <c r="N10" s="1" t="s">
        <v>59</v>
      </c>
      <c r="O10" s="1" t="s">
        <v>22</v>
      </c>
      <c r="P10" s="1" t="str">
        <f t="shared" si="0"/>
        <v>Low Value</v>
      </c>
    </row>
    <row r="11" spans="1:16" x14ac:dyDescent="0.35">
      <c r="A11" s="3" t="s">
        <v>77</v>
      </c>
      <c r="B11" s="4">
        <v>45940</v>
      </c>
      <c r="C11" s="1" t="s">
        <v>78</v>
      </c>
      <c r="D11" s="1" t="s">
        <v>79</v>
      </c>
      <c r="E11" s="1" t="s">
        <v>80</v>
      </c>
      <c r="F11" s="1" t="s">
        <v>81</v>
      </c>
      <c r="G11" s="1" t="s">
        <v>63</v>
      </c>
      <c r="H11" s="1" t="s">
        <v>64</v>
      </c>
      <c r="I11" s="1" t="s">
        <v>20</v>
      </c>
      <c r="J11" s="1">
        <v>2</v>
      </c>
      <c r="K11" s="5">
        <v>539</v>
      </c>
      <c r="L11" s="5">
        <v>862.4</v>
      </c>
      <c r="M11" s="5">
        <v>274.99</v>
      </c>
      <c r="N11" s="1" t="s">
        <v>21</v>
      </c>
      <c r="O11" s="1" t="s">
        <v>22</v>
      </c>
      <c r="P11" s="1" t="str">
        <f t="shared" si="0"/>
        <v>Low Value</v>
      </c>
    </row>
    <row r="12" spans="1:16" x14ac:dyDescent="0.35">
      <c r="A12" s="3" t="s">
        <v>82</v>
      </c>
      <c r="B12" s="4">
        <v>45956</v>
      </c>
      <c r="C12" s="1" t="s">
        <v>83</v>
      </c>
      <c r="D12" s="1" t="s">
        <v>84</v>
      </c>
      <c r="E12" s="1" t="s">
        <v>85</v>
      </c>
      <c r="F12" s="1" t="s">
        <v>86</v>
      </c>
      <c r="G12" s="1" t="s">
        <v>87</v>
      </c>
      <c r="H12" s="1" t="s">
        <v>88</v>
      </c>
      <c r="I12" s="1" t="s">
        <v>52</v>
      </c>
      <c r="J12" s="1">
        <v>3</v>
      </c>
      <c r="K12" s="5">
        <v>5849</v>
      </c>
      <c r="L12" s="5">
        <v>16669.650000000001</v>
      </c>
      <c r="M12" s="5">
        <v>3337.65</v>
      </c>
      <c r="N12" s="1" t="s">
        <v>89</v>
      </c>
      <c r="O12" s="1" t="s">
        <v>90</v>
      </c>
      <c r="P12" s="1" t="str">
        <f t="shared" si="0"/>
        <v>High Value</v>
      </c>
    </row>
    <row r="13" spans="1:16" x14ac:dyDescent="0.35">
      <c r="A13" s="3" t="s">
        <v>91</v>
      </c>
      <c r="B13" s="4">
        <v>46007</v>
      </c>
      <c r="C13" s="1" t="s">
        <v>92</v>
      </c>
      <c r="D13" s="1" t="s">
        <v>93</v>
      </c>
      <c r="E13" s="1" t="s">
        <v>94</v>
      </c>
      <c r="F13" s="1" t="s">
        <v>27</v>
      </c>
      <c r="G13" s="1" t="s">
        <v>95</v>
      </c>
      <c r="H13" s="1" t="s">
        <v>96</v>
      </c>
      <c r="I13" s="1" t="s">
        <v>97</v>
      </c>
      <c r="J13" s="1">
        <v>7</v>
      </c>
      <c r="K13" s="5">
        <v>261</v>
      </c>
      <c r="L13" s="5">
        <v>1461.6</v>
      </c>
      <c r="M13" s="5">
        <v>225.09</v>
      </c>
      <c r="N13" s="1" t="s">
        <v>45</v>
      </c>
      <c r="O13" s="1" t="s">
        <v>90</v>
      </c>
      <c r="P13" s="1" t="str">
        <f t="shared" si="0"/>
        <v>Low Value</v>
      </c>
    </row>
    <row r="14" spans="1:16" x14ac:dyDescent="0.35">
      <c r="A14" s="3" t="s">
        <v>98</v>
      </c>
      <c r="B14" s="4">
        <v>45869</v>
      </c>
      <c r="C14" s="1" t="s">
        <v>99</v>
      </c>
      <c r="D14" s="1" t="s">
        <v>100</v>
      </c>
      <c r="E14" s="1" t="s">
        <v>101</v>
      </c>
      <c r="F14" s="1" t="s">
        <v>86</v>
      </c>
      <c r="G14" s="1" t="s">
        <v>42</v>
      </c>
      <c r="H14" s="1" t="s">
        <v>43</v>
      </c>
      <c r="I14" s="1" t="s">
        <v>44</v>
      </c>
      <c r="J14" s="1">
        <v>7</v>
      </c>
      <c r="K14" s="5">
        <v>989</v>
      </c>
      <c r="L14" s="5">
        <v>5538.4</v>
      </c>
      <c r="M14" s="5">
        <v>1652.46</v>
      </c>
      <c r="N14" s="1" t="s">
        <v>59</v>
      </c>
      <c r="O14" s="1" t="s">
        <v>22</v>
      </c>
      <c r="P14" s="1" t="str">
        <f t="shared" si="0"/>
        <v>Medium Value</v>
      </c>
    </row>
    <row r="15" spans="1:16" x14ac:dyDescent="0.35">
      <c r="A15" s="3" t="s">
        <v>102</v>
      </c>
      <c r="B15" s="4">
        <v>45713</v>
      </c>
      <c r="C15" s="1" t="s">
        <v>103</v>
      </c>
      <c r="D15" s="1" t="s">
        <v>104</v>
      </c>
      <c r="E15" s="1" t="s">
        <v>26</v>
      </c>
      <c r="F15" s="1" t="s">
        <v>27</v>
      </c>
      <c r="G15" s="1" t="s">
        <v>105</v>
      </c>
      <c r="H15" s="1" t="s">
        <v>106</v>
      </c>
      <c r="I15" s="1" t="s">
        <v>107</v>
      </c>
      <c r="J15" s="1">
        <v>4</v>
      </c>
      <c r="K15" s="5">
        <v>999</v>
      </c>
      <c r="L15" s="5">
        <v>3596.4</v>
      </c>
      <c r="M15" s="5">
        <v>708.22</v>
      </c>
      <c r="N15" s="1" t="s">
        <v>45</v>
      </c>
      <c r="O15" s="1" t="s">
        <v>22</v>
      </c>
      <c r="P15" s="1" t="str">
        <f t="shared" si="0"/>
        <v>Low Value</v>
      </c>
    </row>
    <row r="16" spans="1:16" x14ac:dyDescent="0.35">
      <c r="A16" s="3" t="s">
        <v>108</v>
      </c>
      <c r="B16" s="4">
        <v>45756</v>
      </c>
      <c r="C16" s="1" t="s">
        <v>109</v>
      </c>
      <c r="D16" s="1" t="s">
        <v>110</v>
      </c>
      <c r="E16" s="1" t="s">
        <v>111</v>
      </c>
      <c r="F16" s="1" t="s">
        <v>112</v>
      </c>
      <c r="G16" s="1" t="s">
        <v>57</v>
      </c>
      <c r="H16" s="1" t="s">
        <v>58</v>
      </c>
      <c r="I16" s="1" t="s">
        <v>44</v>
      </c>
      <c r="J16" s="1">
        <v>2</v>
      </c>
      <c r="K16" s="5">
        <v>399</v>
      </c>
      <c r="L16" s="5">
        <v>758.1</v>
      </c>
      <c r="M16" s="5">
        <v>197.96</v>
      </c>
      <c r="N16" s="1" t="s">
        <v>113</v>
      </c>
      <c r="O16" s="1" t="s">
        <v>22</v>
      </c>
      <c r="P16" s="1" t="str">
        <f t="shared" si="0"/>
        <v>Low Value</v>
      </c>
    </row>
    <row r="17" spans="1:16" x14ac:dyDescent="0.35">
      <c r="A17" s="3" t="s">
        <v>114</v>
      </c>
      <c r="B17" s="4">
        <v>45827</v>
      </c>
      <c r="C17" s="1" t="s">
        <v>115</v>
      </c>
      <c r="D17" s="1" t="s">
        <v>116</v>
      </c>
      <c r="E17" s="1" t="s">
        <v>94</v>
      </c>
      <c r="F17" s="1" t="s">
        <v>27</v>
      </c>
      <c r="G17" s="1" t="s">
        <v>57</v>
      </c>
      <c r="H17" s="1" t="s">
        <v>58</v>
      </c>
      <c r="I17" s="1" t="s">
        <v>44</v>
      </c>
      <c r="J17" s="1">
        <v>3</v>
      </c>
      <c r="K17" s="5">
        <v>419</v>
      </c>
      <c r="L17" s="5">
        <v>1194.1500000000001</v>
      </c>
      <c r="M17" s="5">
        <v>153.35</v>
      </c>
      <c r="N17" s="1" t="s">
        <v>21</v>
      </c>
      <c r="O17" s="1" t="s">
        <v>22</v>
      </c>
      <c r="P17" s="1" t="str">
        <f t="shared" si="0"/>
        <v>Low Value</v>
      </c>
    </row>
    <row r="18" spans="1:16" x14ac:dyDescent="0.35">
      <c r="A18" s="3" t="s">
        <v>117</v>
      </c>
      <c r="B18" s="4">
        <v>45818</v>
      </c>
      <c r="C18" s="1" t="s">
        <v>118</v>
      </c>
      <c r="D18" s="1" t="s">
        <v>119</v>
      </c>
      <c r="E18" s="1" t="s">
        <v>41</v>
      </c>
      <c r="F18" s="1" t="s">
        <v>17</v>
      </c>
      <c r="G18" s="1" t="s">
        <v>120</v>
      </c>
      <c r="H18" s="1" t="s">
        <v>121</v>
      </c>
      <c r="I18" s="1" t="s">
        <v>20</v>
      </c>
      <c r="J18" s="1">
        <v>7</v>
      </c>
      <c r="K18" s="5">
        <v>1574</v>
      </c>
      <c r="L18" s="5">
        <v>11018</v>
      </c>
      <c r="M18" s="5">
        <v>1939.6</v>
      </c>
      <c r="N18" s="1" t="s">
        <v>113</v>
      </c>
      <c r="O18" s="1" t="s">
        <v>22</v>
      </c>
      <c r="P18" s="1" t="str">
        <f t="shared" si="0"/>
        <v>High Value</v>
      </c>
    </row>
    <row r="19" spans="1:16" x14ac:dyDescent="0.35">
      <c r="A19" s="3" t="s">
        <v>122</v>
      </c>
      <c r="B19" s="4">
        <v>46009</v>
      </c>
      <c r="C19" s="1" t="s">
        <v>123</v>
      </c>
      <c r="D19" s="1" t="s">
        <v>124</v>
      </c>
      <c r="E19" s="1" t="s">
        <v>85</v>
      </c>
      <c r="F19" s="1" t="s">
        <v>86</v>
      </c>
      <c r="G19" s="1" t="s">
        <v>95</v>
      </c>
      <c r="H19" s="1" t="s">
        <v>96</v>
      </c>
      <c r="I19" s="1" t="s">
        <v>97</v>
      </c>
      <c r="J19" s="1">
        <v>7</v>
      </c>
      <c r="K19" s="5">
        <v>224</v>
      </c>
      <c r="L19" s="5">
        <v>1254.4000000000001</v>
      </c>
      <c r="M19" s="5">
        <v>404.63</v>
      </c>
      <c r="N19" s="1" t="s">
        <v>21</v>
      </c>
      <c r="O19" s="1" t="s">
        <v>22</v>
      </c>
      <c r="P19" s="1" t="str">
        <f t="shared" si="0"/>
        <v>Low Value</v>
      </c>
    </row>
    <row r="20" spans="1:16" x14ac:dyDescent="0.35">
      <c r="A20" s="3" t="s">
        <v>125</v>
      </c>
      <c r="B20" s="4">
        <v>45811</v>
      </c>
      <c r="C20" s="1" t="s">
        <v>126</v>
      </c>
      <c r="D20" s="1" t="s">
        <v>127</v>
      </c>
      <c r="E20" s="1" t="s">
        <v>49</v>
      </c>
      <c r="F20" s="1" t="s">
        <v>49</v>
      </c>
      <c r="G20" s="1" t="s">
        <v>87</v>
      </c>
      <c r="H20" s="1" t="s">
        <v>88</v>
      </c>
      <c r="I20" s="1" t="s">
        <v>52</v>
      </c>
      <c r="J20" s="1">
        <v>6</v>
      </c>
      <c r="K20" s="5">
        <v>6499</v>
      </c>
      <c r="L20" s="5">
        <v>31195.200000000001</v>
      </c>
      <c r="M20" s="5">
        <v>5772.49</v>
      </c>
      <c r="N20" s="1" t="s">
        <v>45</v>
      </c>
      <c r="O20" s="1" t="s">
        <v>22</v>
      </c>
      <c r="P20" s="1" t="str">
        <f t="shared" si="0"/>
        <v>High Value</v>
      </c>
    </row>
    <row r="21" spans="1:16" x14ac:dyDescent="0.35">
      <c r="A21" s="3" t="s">
        <v>128</v>
      </c>
      <c r="B21" s="4">
        <v>45852</v>
      </c>
      <c r="C21" s="1" t="s">
        <v>129</v>
      </c>
      <c r="D21" s="1" t="s">
        <v>130</v>
      </c>
      <c r="E21" s="1" t="s">
        <v>101</v>
      </c>
      <c r="F21" s="1" t="s">
        <v>86</v>
      </c>
      <c r="G21" s="1" t="s">
        <v>131</v>
      </c>
      <c r="H21" s="1" t="s">
        <v>132</v>
      </c>
      <c r="I21" s="1" t="s">
        <v>44</v>
      </c>
      <c r="J21" s="1">
        <v>5</v>
      </c>
      <c r="K21" s="5">
        <v>549</v>
      </c>
      <c r="L21" s="5">
        <v>2333.25</v>
      </c>
      <c r="M21" s="5">
        <v>707.95</v>
      </c>
      <c r="N21" s="1" t="s">
        <v>59</v>
      </c>
      <c r="O21" s="1" t="s">
        <v>22</v>
      </c>
      <c r="P21" s="1" t="str">
        <f t="shared" si="0"/>
        <v>Low Value</v>
      </c>
    </row>
    <row r="22" spans="1:16" x14ac:dyDescent="0.35">
      <c r="A22" s="3" t="s">
        <v>133</v>
      </c>
      <c r="B22" s="4">
        <v>45954</v>
      </c>
      <c r="C22" s="1" t="s">
        <v>134</v>
      </c>
      <c r="D22" s="1" t="s">
        <v>135</v>
      </c>
      <c r="E22" s="1" t="s">
        <v>111</v>
      </c>
      <c r="F22" s="1" t="s">
        <v>112</v>
      </c>
      <c r="G22" s="1" t="s">
        <v>50</v>
      </c>
      <c r="H22" s="1" t="s">
        <v>51</v>
      </c>
      <c r="I22" s="1" t="s">
        <v>52</v>
      </c>
      <c r="J22" s="1">
        <v>8</v>
      </c>
      <c r="K22" s="5">
        <v>7999</v>
      </c>
      <c r="L22" s="5">
        <v>51193.599999999999</v>
      </c>
      <c r="M22" s="5">
        <v>8550.06</v>
      </c>
      <c r="N22" s="1" t="s">
        <v>113</v>
      </c>
      <c r="O22" s="1" t="s">
        <v>136</v>
      </c>
      <c r="P22" s="1" t="str">
        <f t="shared" si="0"/>
        <v>High Value</v>
      </c>
    </row>
    <row r="23" spans="1:16" x14ac:dyDescent="0.35">
      <c r="A23" s="3" t="s">
        <v>137</v>
      </c>
      <c r="B23" s="4">
        <v>45744</v>
      </c>
      <c r="C23" s="1" t="s">
        <v>39</v>
      </c>
      <c r="D23" s="1" t="s">
        <v>40</v>
      </c>
      <c r="E23" s="1" t="s">
        <v>34</v>
      </c>
      <c r="F23" s="1" t="s">
        <v>27</v>
      </c>
      <c r="G23" s="1" t="s">
        <v>70</v>
      </c>
      <c r="H23" s="1" t="s">
        <v>71</v>
      </c>
      <c r="I23" s="1" t="s">
        <v>44</v>
      </c>
      <c r="J23" s="1">
        <v>6</v>
      </c>
      <c r="K23" s="5">
        <v>2969</v>
      </c>
      <c r="L23" s="5">
        <v>17814</v>
      </c>
      <c r="M23" s="5">
        <v>4774.42</v>
      </c>
      <c r="N23" s="1" t="s">
        <v>45</v>
      </c>
      <c r="O23" s="1" t="s">
        <v>136</v>
      </c>
      <c r="P23" s="1" t="str">
        <f t="shared" si="0"/>
        <v>High Value</v>
      </c>
    </row>
    <row r="24" spans="1:16" x14ac:dyDescent="0.35">
      <c r="A24" s="3" t="s">
        <v>138</v>
      </c>
      <c r="B24" s="4">
        <v>45670</v>
      </c>
      <c r="C24" s="1" t="s">
        <v>139</v>
      </c>
      <c r="D24" s="1" t="s">
        <v>140</v>
      </c>
      <c r="E24" s="1" t="s">
        <v>141</v>
      </c>
      <c r="F24" s="1" t="s">
        <v>69</v>
      </c>
      <c r="G24" s="1" t="s">
        <v>105</v>
      </c>
      <c r="H24" s="1" t="s">
        <v>106</v>
      </c>
      <c r="I24" s="1" t="s">
        <v>107</v>
      </c>
      <c r="J24" s="1">
        <v>2</v>
      </c>
      <c r="K24" s="5">
        <v>999</v>
      </c>
      <c r="L24" s="5">
        <v>1798.2</v>
      </c>
      <c r="M24" s="5">
        <v>566.34</v>
      </c>
      <c r="N24" s="1" t="s">
        <v>21</v>
      </c>
      <c r="O24" s="1" t="s">
        <v>22</v>
      </c>
      <c r="P24" s="1" t="str">
        <f t="shared" si="0"/>
        <v>Low Value</v>
      </c>
    </row>
    <row r="25" spans="1:16" x14ac:dyDescent="0.35">
      <c r="A25" s="3" t="s">
        <v>142</v>
      </c>
      <c r="B25" s="4">
        <v>45854</v>
      </c>
      <c r="C25" s="1" t="s">
        <v>143</v>
      </c>
      <c r="D25" s="1" t="s">
        <v>144</v>
      </c>
      <c r="E25" s="1" t="s">
        <v>145</v>
      </c>
      <c r="F25" s="1" t="s">
        <v>0</v>
      </c>
      <c r="G25" s="1" t="s">
        <v>35</v>
      </c>
      <c r="H25" s="1" t="s">
        <v>36</v>
      </c>
      <c r="I25" s="1" t="s">
        <v>37</v>
      </c>
      <c r="J25" s="1">
        <v>3</v>
      </c>
      <c r="K25" s="5">
        <v>1429</v>
      </c>
      <c r="L25" s="5">
        <v>3429.6</v>
      </c>
      <c r="M25" s="5">
        <v>415.74</v>
      </c>
      <c r="N25" s="1" t="s">
        <v>89</v>
      </c>
      <c r="O25" s="1" t="s">
        <v>136</v>
      </c>
      <c r="P25" s="1" t="str">
        <f t="shared" si="0"/>
        <v>Low Value</v>
      </c>
    </row>
    <row r="26" spans="1:16" x14ac:dyDescent="0.35">
      <c r="A26" s="3" t="s">
        <v>146</v>
      </c>
      <c r="B26" s="4">
        <v>45748</v>
      </c>
      <c r="C26" s="1" t="s">
        <v>147</v>
      </c>
      <c r="D26" s="1" t="s">
        <v>148</v>
      </c>
      <c r="E26" s="1" t="s">
        <v>41</v>
      </c>
      <c r="F26" s="1" t="s">
        <v>17</v>
      </c>
      <c r="G26" s="1" t="s">
        <v>50</v>
      </c>
      <c r="H26" s="1" t="s">
        <v>51</v>
      </c>
      <c r="I26" s="1" t="s">
        <v>52</v>
      </c>
      <c r="J26" s="1">
        <v>1</v>
      </c>
      <c r="K26" s="5">
        <v>8399</v>
      </c>
      <c r="L26" s="5">
        <v>8399</v>
      </c>
      <c r="M26" s="5">
        <v>2703.16</v>
      </c>
      <c r="N26" s="1" t="s">
        <v>89</v>
      </c>
      <c r="O26" s="1" t="s">
        <v>22</v>
      </c>
      <c r="P26" s="1" t="str">
        <f t="shared" si="0"/>
        <v>Medium Value</v>
      </c>
    </row>
    <row r="27" spans="1:16" x14ac:dyDescent="0.35">
      <c r="A27" s="3" t="s">
        <v>149</v>
      </c>
      <c r="B27" s="4">
        <v>45999</v>
      </c>
      <c r="C27" s="1" t="s">
        <v>150</v>
      </c>
      <c r="D27" s="1" t="s">
        <v>151</v>
      </c>
      <c r="E27" s="1" t="s">
        <v>166</v>
      </c>
      <c r="F27" s="1" t="s">
        <v>27</v>
      </c>
      <c r="G27" s="1" t="s">
        <v>131</v>
      </c>
      <c r="H27" s="1" t="s">
        <v>132</v>
      </c>
      <c r="I27" s="1" t="s">
        <v>44</v>
      </c>
      <c r="J27" s="1">
        <v>6</v>
      </c>
      <c r="K27" s="5">
        <v>549</v>
      </c>
      <c r="L27" s="5">
        <v>2799.9</v>
      </c>
      <c r="M27" s="5">
        <v>838.01</v>
      </c>
      <c r="N27" s="1" t="s">
        <v>21</v>
      </c>
      <c r="O27" s="1" t="s">
        <v>22</v>
      </c>
      <c r="P27" s="1" t="str">
        <f t="shared" si="0"/>
        <v>Low Value</v>
      </c>
    </row>
    <row r="28" spans="1:16" x14ac:dyDescent="0.35">
      <c r="A28" s="3" t="s">
        <v>152</v>
      </c>
      <c r="B28" s="4">
        <v>45886</v>
      </c>
      <c r="C28" s="1" t="s">
        <v>153</v>
      </c>
      <c r="D28" s="1" t="s">
        <v>154</v>
      </c>
      <c r="E28" s="1" t="s">
        <v>16</v>
      </c>
      <c r="F28" s="1" t="s">
        <v>17</v>
      </c>
      <c r="G28" s="1" t="s">
        <v>50</v>
      </c>
      <c r="H28" s="1" t="s">
        <v>51</v>
      </c>
      <c r="I28" s="1" t="s">
        <v>52</v>
      </c>
      <c r="J28" s="1">
        <v>5</v>
      </c>
      <c r="K28" s="5">
        <v>7999</v>
      </c>
      <c r="L28" s="5">
        <v>31996</v>
      </c>
      <c r="M28" s="5">
        <v>5791.55</v>
      </c>
      <c r="N28" s="1" t="s">
        <v>21</v>
      </c>
      <c r="O28" s="1" t="s">
        <v>22</v>
      </c>
      <c r="P28" s="1" t="str">
        <f t="shared" si="0"/>
        <v>High Value</v>
      </c>
    </row>
    <row r="29" spans="1:16" x14ac:dyDescent="0.35">
      <c r="A29" s="3" t="s">
        <v>155</v>
      </c>
      <c r="B29" s="4">
        <v>45798</v>
      </c>
      <c r="C29" s="1" t="s">
        <v>156</v>
      </c>
      <c r="D29" s="1" t="s">
        <v>157</v>
      </c>
      <c r="E29" s="1" t="s">
        <v>34</v>
      </c>
      <c r="F29" s="1" t="s">
        <v>27</v>
      </c>
      <c r="G29" s="1" t="s">
        <v>70</v>
      </c>
      <c r="H29" s="1" t="s">
        <v>71</v>
      </c>
      <c r="I29" s="1" t="s">
        <v>44</v>
      </c>
      <c r="J29" s="1">
        <v>4</v>
      </c>
      <c r="K29" s="5">
        <v>3299</v>
      </c>
      <c r="L29" s="5">
        <v>12536.2</v>
      </c>
      <c r="M29" s="5">
        <v>2386.09</v>
      </c>
      <c r="N29" s="1" t="s">
        <v>21</v>
      </c>
      <c r="O29" s="1" t="s">
        <v>22</v>
      </c>
      <c r="P29" s="1" t="str">
        <f t="shared" si="0"/>
        <v>High Value</v>
      </c>
    </row>
    <row r="30" spans="1:16" x14ac:dyDescent="0.35">
      <c r="A30" s="3" t="s">
        <v>158</v>
      </c>
      <c r="B30" s="4">
        <v>45776</v>
      </c>
      <c r="C30" s="1" t="s">
        <v>159</v>
      </c>
      <c r="D30" s="1" t="s">
        <v>160</v>
      </c>
      <c r="E30" s="1" t="s">
        <v>85</v>
      </c>
      <c r="F30" s="1" t="s">
        <v>86</v>
      </c>
      <c r="G30" s="1" t="s">
        <v>161</v>
      </c>
      <c r="H30" s="1" t="s">
        <v>162</v>
      </c>
      <c r="I30" s="1" t="s">
        <v>37</v>
      </c>
      <c r="J30" s="1">
        <v>2</v>
      </c>
      <c r="K30" s="5">
        <v>2299</v>
      </c>
      <c r="L30" s="5">
        <v>4138.2</v>
      </c>
      <c r="M30" s="5">
        <v>797.82</v>
      </c>
      <c r="N30" s="1" t="s">
        <v>113</v>
      </c>
      <c r="O30" s="1" t="s">
        <v>22</v>
      </c>
      <c r="P30" s="1" t="str">
        <f t="shared" si="0"/>
        <v>Low Value</v>
      </c>
    </row>
    <row r="31" spans="1:16" x14ac:dyDescent="0.35">
      <c r="A31" s="3" t="s">
        <v>163</v>
      </c>
      <c r="B31" s="4">
        <v>45873</v>
      </c>
      <c r="C31" s="1" t="s">
        <v>164</v>
      </c>
      <c r="D31" s="1" t="s">
        <v>165</v>
      </c>
      <c r="E31" s="1" t="s">
        <v>166</v>
      </c>
      <c r="F31" s="1" t="s">
        <v>27</v>
      </c>
      <c r="G31" s="1" t="s">
        <v>28</v>
      </c>
      <c r="H31" s="1" t="s">
        <v>29</v>
      </c>
      <c r="I31" s="1" t="s">
        <v>30</v>
      </c>
      <c r="J31" s="1">
        <v>7</v>
      </c>
      <c r="K31" s="5">
        <v>1599</v>
      </c>
      <c r="L31" s="5">
        <v>11193</v>
      </c>
      <c r="M31" s="5">
        <v>3664.62</v>
      </c>
      <c r="N31" s="1" t="s">
        <v>59</v>
      </c>
      <c r="O31" s="1" t="s">
        <v>22</v>
      </c>
      <c r="P31" s="1" t="str">
        <f t="shared" si="0"/>
        <v>High Value</v>
      </c>
    </row>
    <row r="32" spans="1:16" x14ac:dyDescent="0.35">
      <c r="A32" s="3" t="s">
        <v>167</v>
      </c>
      <c r="B32" s="4">
        <v>45933</v>
      </c>
      <c r="C32" s="1" t="s">
        <v>168</v>
      </c>
      <c r="D32" s="1" t="s">
        <v>62</v>
      </c>
      <c r="E32" s="1" t="s">
        <v>141</v>
      </c>
      <c r="F32" s="1" t="s">
        <v>69</v>
      </c>
      <c r="G32" s="1" t="s">
        <v>105</v>
      </c>
      <c r="H32" s="1" t="s">
        <v>106</v>
      </c>
      <c r="I32" s="1" t="s">
        <v>107</v>
      </c>
      <c r="J32" s="1">
        <v>4</v>
      </c>
      <c r="K32" s="5">
        <v>999</v>
      </c>
      <c r="L32" s="5">
        <v>3596.4</v>
      </c>
      <c r="M32" s="5">
        <v>815.81</v>
      </c>
      <c r="N32" s="1" t="s">
        <v>113</v>
      </c>
      <c r="O32" s="1" t="s">
        <v>22</v>
      </c>
      <c r="P32" s="1" t="str">
        <f t="shared" si="0"/>
        <v>Low Value</v>
      </c>
    </row>
    <row r="33" spans="1:16" x14ac:dyDescent="0.35">
      <c r="A33" s="3" t="s">
        <v>169</v>
      </c>
      <c r="B33" s="4">
        <v>45865</v>
      </c>
      <c r="C33" s="1" t="s">
        <v>170</v>
      </c>
      <c r="D33" s="1" t="s">
        <v>171</v>
      </c>
      <c r="E33" s="1" t="s">
        <v>172</v>
      </c>
      <c r="F33" s="1" t="s">
        <v>173</v>
      </c>
      <c r="G33" s="1" t="s">
        <v>18</v>
      </c>
      <c r="H33" s="1" t="s">
        <v>19</v>
      </c>
      <c r="I33" s="1" t="s">
        <v>20</v>
      </c>
      <c r="J33" s="1">
        <v>1</v>
      </c>
      <c r="K33" s="5">
        <v>3999</v>
      </c>
      <c r="L33" s="5">
        <v>3399.15</v>
      </c>
      <c r="M33" s="5">
        <v>829.96</v>
      </c>
      <c r="N33" s="1" t="s">
        <v>89</v>
      </c>
      <c r="O33" s="1" t="s">
        <v>22</v>
      </c>
      <c r="P33" s="1" t="str">
        <f t="shared" si="0"/>
        <v>Low Value</v>
      </c>
    </row>
    <row r="34" spans="1:16" x14ac:dyDescent="0.35">
      <c r="A34" s="3" t="s">
        <v>174</v>
      </c>
      <c r="B34" s="4">
        <v>45727</v>
      </c>
      <c r="C34" s="1" t="s">
        <v>175</v>
      </c>
      <c r="D34" s="1" t="s">
        <v>176</v>
      </c>
      <c r="E34" s="1" t="s">
        <v>101</v>
      </c>
      <c r="F34" s="1" t="s">
        <v>86</v>
      </c>
      <c r="G34" s="1" t="s">
        <v>177</v>
      </c>
      <c r="H34" s="1" t="s">
        <v>178</v>
      </c>
      <c r="I34" s="1" t="s">
        <v>20</v>
      </c>
      <c r="J34" s="1">
        <v>5</v>
      </c>
      <c r="K34" s="5">
        <v>2499</v>
      </c>
      <c r="L34" s="5">
        <v>11870.25</v>
      </c>
      <c r="M34" s="5">
        <v>1977.17</v>
      </c>
      <c r="N34" s="1" t="s">
        <v>59</v>
      </c>
      <c r="O34" s="1" t="s">
        <v>22</v>
      </c>
      <c r="P34" s="1" t="str">
        <f t="shared" si="0"/>
        <v>High Value</v>
      </c>
    </row>
    <row r="35" spans="1:16" x14ac:dyDescent="0.35">
      <c r="A35" s="3" t="s">
        <v>179</v>
      </c>
      <c r="B35" s="4">
        <v>45800</v>
      </c>
      <c r="C35" s="1" t="s">
        <v>180</v>
      </c>
      <c r="D35" s="1" t="s">
        <v>181</v>
      </c>
      <c r="E35" s="1" t="s">
        <v>68</v>
      </c>
      <c r="F35" s="1" t="s">
        <v>69</v>
      </c>
      <c r="G35" s="1" t="s">
        <v>182</v>
      </c>
      <c r="H35" s="1" t="s">
        <v>183</v>
      </c>
      <c r="I35" s="1" t="s">
        <v>20</v>
      </c>
      <c r="J35" s="1">
        <v>8</v>
      </c>
      <c r="K35" s="5">
        <v>1619</v>
      </c>
      <c r="L35" s="5">
        <v>10361.6</v>
      </c>
      <c r="M35" s="5">
        <v>2473.0300000000002</v>
      </c>
      <c r="N35" s="1" t="s">
        <v>59</v>
      </c>
      <c r="O35" s="1" t="s">
        <v>22</v>
      </c>
      <c r="P35" s="1" t="str">
        <f t="shared" si="0"/>
        <v>High Value</v>
      </c>
    </row>
    <row r="36" spans="1:16" x14ac:dyDescent="0.35">
      <c r="A36" s="3" t="s">
        <v>184</v>
      </c>
      <c r="B36" s="4">
        <v>45991</v>
      </c>
      <c r="C36" s="1" t="s">
        <v>185</v>
      </c>
      <c r="D36" s="1" t="s">
        <v>186</v>
      </c>
      <c r="E36" s="1" t="s">
        <v>166</v>
      </c>
      <c r="F36" s="1" t="s">
        <v>27</v>
      </c>
      <c r="G36" s="1" t="s">
        <v>35</v>
      </c>
      <c r="H36" s="1" t="s">
        <v>36</v>
      </c>
      <c r="I36" s="1" t="s">
        <v>37</v>
      </c>
      <c r="J36" s="1">
        <v>4</v>
      </c>
      <c r="K36" s="5">
        <v>1169</v>
      </c>
      <c r="L36" s="5">
        <v>3974.6</v>
      </c>
      <c r="M36" s="5">
        <v>610.20000000000005</v>
      </c>
      <c r="N36" s="1" t="s">
        <v>45</v>
      </c>
      <c r="O36" s="1" t="s">
        <v>22</v>
      </c>
      <c r="P36" s="1" t="str">
        <f t="shared" si="0"/>
        <v>Low Value</v>
      </c>
    </row>
    <row r="37" spans="1:16" x14ac:dyDescent="0.35">
      <c r="A37" s="3" t="s">
        <v>187</v>
      </c>
      <c r="B37" s="4">
        <v>45946</v>
      </c>
      <c r="C37" s="1" t="s">
        <v>188</v>
      </c>
      <c r="D37" s="1" t="s">
        <v>189</v>
      </c>
      <c r="E37" s="1" t="s">
        <v>172</v>
      </c>
      <c r="F37" s="1" t="s">
        <v>173</v>
      </c>
      <c r="G37" s="1" t="s">
        <v>57</v>
      </c>
      <c r="H37" s="1" t="s">
        <v>58</v>
      </c>
      <c r="I37" s="1" t="s">
        <v>44</v>
      </c>
      <c r="J37" s="1">
        <v>6</v>
      </c>
      <c r="K37" s="5">
        <v>399</v>
      </c>
      <c r="L37" s="5">
        <v>2034.9</v>
      </c>
      <c r="M37" s="5">
        <v>516.04</v>
      </c>
      <c r="N37" s="1" t="s">
        <v>89</v>
      </c>
      <c r="O37" s="1" t="s">
        <v>136</v>
      </c>
      <c r="P37" s="1" t="str">
        <f t="shared" si="0"/>
        <v>Low Value</v>
      </c>
    </row>
    <row r="38" spans="1:16" x14ac:dyDescent="0.35">
      <c r="A38" s="3" t="s">
        <v>190</v>
      </c>
      <c r="B38" s="4">
        <v>45817</v>
      </c>
      <c r="C38" s="1" t="s">
        <v>191</v>
      </c>
      <c r="D38" s="1" t="s">
        <v>192</v>
      </c>
      <c r="E38" s="1" t="s">
        <v>166</v>
      </c>
      <c r="F38" s="1" t="s">
        <v>27</v>
      </c>
      <c r="G38" s="1" t="s">
        <v>70</v>
      </c>
      <c r="H38" s="1" t="s">
        <v>71</v>
      </c>
      <c r="I38" s="1" t="s">
        <v>44</v>
      </c>
      <c r="J38" s="1">
        <v>7</v>
      </c>
      <c r="K38" s="5">
        <v>3299</v>
      </c>
      <c r="L38" s="5">
        <v>18474.400000000001</v>
      </c>
      <c r="M38" s="5">
        <v>3023.01</v>
      </c>
      <c r="N38" s="1" t="s">
        <v>21</v>
      </c>
      <c r="O38" s="1" t="s">
        <v>22</v>
      </c>
      <c r="P38" s="1" t="str">
        <f t="shared" si="0"/>
        <v>High Value</v>
      </c>
    </row>
    <row r="39" spans="1:16" x14ac:dyDescent="0.35">
      <c r="A39" s="3" t="s">
        <v>193</v>
      </c>
      <c r="B39" s="4">
        <v>45782</v>
      </c>
      <c r="C39" s="1" t="s">
        <v>194</v>
      </c>
      <c r="D39" s="1" t="s">
        <v>195</v>
      </c>
      <c r="E39" s="1" t="s">
        <v>49</v>
      </c>
      <c r="F39" s="1" t="s">
        <v>49</v>
      </c>
      <c r="G39" s="1" t="s">
        <v>131</v>
      </c>
      <c r="H39" s="1" t="s">
        <v>132</v>
      </c>
      <c r="I39" s="1" t="s">
        <v>44</v>
      </c>
      <c r="J39" s="1">
        <v>2</v>
      </c>
      <c r="K39" s="5">
        <v>576</v>
      </c>
      <c r="L39" s="5">
        <v>1152</v>
      </c>
      <c r="M39" s="5">
        <v>226.24</v>
      </c>
      <c r="N39" s="1" t="s">
        <v>113</v>
      </c>
      <c r="O39" s="1" t="s">
        <v>22</v>
      </c>
      <c r="P39" s="1" t="str">
        <f t="shared" si="0"/>
        <v>Low Value</v>
      </c>
    </row>
    <row r="40" spans="1:16" x14ac:dyDescent="0.35">
      <c r="A40" s="3" t="s">
        <v>196</v>
      </c>
      <c r="B40" s="4">
        <v>45917</v>
      </c>
      <c r="C40" s="1" t="s">
        <v>47</v>
      </c>
      <c r="D40" s="1" t="s">
        <v>48</v>
      </c>
      <c r="E40" s="1" t="s">
        <v>111</v>
      </c>
      <c r="F40" s="1" t="s">
        <v>112</v>
      </c>
      <c r="G40" s="1" t="s">
        <v>63</v>
      </c>
      <c r="H40" s="1" t="s">
        <v>64</v>
      </c>
      <c r="I40" s="1" t="s">
        <v>20</v>
      </c>
      <c r="J40" s="1">
        <v>7</v>
      </c>
      <c r="K40" s="5">
        <v>599</v>
      </c>
      <c r="L40" s="5">
        <v>4193</v>
      </c>
      <c r="M40" s="5">
        <v>903.07</v>
      </c>
      <c r="N40" s="1" t="s">
        <v>59</v>
      </c>
      <c r="O40" s="1" t="s">
        <v>22</v>
      </c>
      <c r="P40" s="1" t="str">
        <f t="shared" si="0"/>
        <v>Low Value</v>
      </c>
    </row>
    <row r="41" spans="1:16" x14ac:dyDescent="0.35">
      <c r="A41" s="3" t="s">
        <v>197</v>
      </c>
      <c r="B41" s="4">
        <v>46020</v>
      </c>
      <c r="C41" s="1" t="s">
        <v>66</v>
      </c>
      <c r="D41" s="1" t="s">
        <v>67</v>
      </c>
      <c r="E41" s="1" t="s">
        <v>75</v>
      </c>
      <c r="F41" s="1" t="s">
        <v>76</v>
      </c>
      <c r="G41" s="1" t="s">
        <v>198</v>
      </c>
      <c r="H41" s="1" t="s">
        <v>199</v>
      </c>
      <c r="I41" s="1" t="s">
        <v>37</v>
      </c>
      <c r="J41" s="1">
        <v>5</v>
      </c>
      <c r="K41" s="5">
        <v>734</v>
      </c>
      <c r="L41" s="5">
        <v>3119.5</v>
      </c>
      <c r="M41" s="5">
        <v>905.97</v>
      </c>
      <c r="N41" s="1" t="s">
        <v>113</v>
      </c>
      <c r="O41" s="1" t="s">
        <v>22</v>
      </c>
      <c r="P41" s="1" t="str">
        <f t="shared" si="0"/>
        <v>Low Value</v>
      </c>
    </row>
    <row r="42" spans="1:16" x14ac:dyDescent="0.35">
      <c r="A42" s="3" t="s">
        <v>200</v>
      </c>
      <c r="B42" s="4">
        <v>45961</v>
      </c>
      <c r="C42" s="1" t="s">
        <v>201</v>
      </c>
      <c r="D42" s="1" t="s">
        <v>202</v>
      </c>
      <c r="E42" s="1" t="s">
        <v>111</v>
      </c>
      <c r="F42" s="1" t="s">
        <v>112</v>
      </c>
      <c r="G42" s="1" t="s">
        <v>35</v>
      </c>
      <c r="H42" s="1" t="s">
        <v>36</v>
      </c>
      <c r="I42" s="1" t="s">
        <v>37</v>
      </c>
      <c r="J42" s="1">
        <v>2</v>
      </c>
      <c r="K42" s="5">
        <v>1299</v>
      </c>
      <c r="L42" s="5">
        <v>2338.1999999999998</v>
      </c>
      <c r="M42" s="5">
        <v>406.03</v>
      </c>
      <c r="N42" s="1" t="s">
        <v>113</v>
      </c>
      <c r="O42" s="1" t="s">
        <v>22</v>
      </c>
      <c r="P42" s="1" t="str">
        <f t="shared" si="0"/>
        <v>Low Value</v>
      </c>
    </row>
    <row r="43" spans="1:16" x14ac:dyDescent="0.35">
      <c r="A43" s="3" t="s">
        <v>203</v>
      </c>
      <c r="B43" s="4">
        <v>45852</v>
      </c>
      <c r="C43" s="1" t="s">
        <v>204</v>
      </c>
      <c r="D43" s="1" t="s">
        <v>205</v>
      </c>
      <c r="E43" s="1" t="s">
        <v>166</v>
      </c>
      <c r="F43" s="1" t="s">
        <v>27</v>
      </c>
      <c r="G43" s="1" t="s">
        <v>105</v>
      </c>
      <c r="H43" s="1" t="s">
        <v>106</v>
      </c>
      <c r="I43" s="1" t="s">
        <v>107</v>
      </c>
      <c r="J43" s="1">
        <v>6</v>
      </c>
      <c r="K43" s="5">
        <v>999</v>
      </c>
      <c r="L43" s="5">
        <v>5394.6</v>
      </c>
      <c r="M43" s="5">
        <v>899.1</v>
      </c>
      <c r="N43" s="1" t="s">
        <v>59</v>
      </c>
      <c r="O43" s="1" t="s">
        <v>22</v>
      </c>
      <c r="P43" s="1" t="str">
        <f t="shared" si="0"/>
        <v>Medium Value</v>
      </c>
    </row>
    <row r="44" spans="1:16" x14ac:dyDescent="0.35">
      <c r="A44" s="3" t="s">
        <v>206</v>
      </c>
      <c r="B44" s="4">
        <v>46017</v>
      </c>
      <c r="C44" s="1" t="s">
        <v>207</v>
      </c>
      <c r="D44" s="1" t="s">
        <v>208</v>
      </c>
      <c r="E44" s="1" t="s">
        <v>80</v>
      </c>
      <c r="F44" s="1" t="s">
        <v>81</v>
      </c>
      <c r="G44" s="1" t="s">
        <v>63</v>
      </c>
      <c r="H44" s="1" t="s">
        <v>64</v>
      </c>
      <c r="I44" s="1" t="s">
        <v>20</v>
      </c>
      <c r="J44" s="1">
        <v>4</v>
      </c>
      <c r="K44" s="5">
        <v>539</v>
      </c>
      <c r="L44" s="5">
        <v>2156</v>
      </c>
      <c r="M44" s="5">
        <v>600.27</v>
      </c>
      <c r="N44" s="1" t="s">
        <v>113</v>
      </c>
      <c r="O44" s="1" t="s">
        <v>22</v>
      </c>
      <c r="P44" s="1" t="str">
        <f t="shared" si="0"/>
        <v>Low Value</v>
      </c>
    </row>
    <row r="45" spans="1:16" x14ac:dyDescent="0.35">
      <c r="A45" s="3" t="s">
        <v>209</v>
      </c>
      <c r="B45" s="4">
        <v>46011</v>
      </c>
      <c r="C45" s="1" t="s">
        <v>210</v>
      </c>
      <c r="D45" s="1" t="s">
        <v>211</v>
      </c>
      <c r="E45" s="1" t="s">
        <v>16</v>
      </c>
      <c r="F45" s="1" t="s">
        <v>17</v>
      </c>
      <c r="G45" s="1" t="s">
        <v>50</v>
      </c>
      <c r="H45" s="1" t="s">
        <v>51</v>
      </c>
      <c r="I45" s="1" t="s">
        <v>52</v>
      </c>
      <c r="J45" s="1">
        <v>1</v>
      </c>
      <c r="K45" s="5">
        <v>7199</v>
      </c>
      <c r="L45" s="5">
        <v>6839.05</v>
      </c>
      <c r="M45" s="5">
        <v>1154.0999999999999</v>
      </c>
      <c r="N45" s="1" t="s">
        <v>45</v>
      </c>
      <c r="O45" s="1" t="s">
        <v>22</v>
      </c>
      <c r="P45" s="1" t="str">
        <f t="shared" si="0"/>
        <v>Medium Value</v>
      </c>
    </row>
    <row r="46" spans="1:16" x14ac:dyDescent="0.35">
      <c r="A46" s="3" t="s">
        <v>212</v>
      </c>
      <c r="B46" s="4">
        <v>45846</v>
      </c>
      <c r="C46" s="1" t="s">
        <v>210</v>
      </c>
      <c r="D46" s="1" t="s">
        <v>211</v>
      </c>
      <c r="E46" s="1" t="s">
        <v>80</v>
      </c>
      <c r="F46" s="1" t="s">
        <v>81</v>
      </c>
      <c r="G46" s="1" t="s">
        <v>213</v>
      </c>
      <c r="H46" s="1" t="s">
        <v>214</v>
      </c>
      <c r="I46" s="1" t="s">
        <v>107</v>
      </c>
      <c r="J46" s="1">
        <v>6</v>
      </c>
      <c r="K46" s="5">
        <v>1899</v>
      </c>
      <c r="L46" s="5">
        <v>9115.2000000000007</v>
      </c>
      <c r="M46" s="5">
        <v>2197.54</v>
      </c>
      <c r="N46" s="1" t="s">
        <v>59</v>
      </c>
      <c r="O46" s="1" t="s">
        <v>22</v>
      </c>
      <c r="P46" s="1" t="str">
        <f t="shared" si="0"/>
        <v>Medium Value</v>
      </c>
    </row>
    <row r="47" spans="1:16" x14ac:dyDescent="0.35">
      <c r="A47" s="3" t="s">
        <v>215</v>
      </c>
      <c r="B47" s="4">
        <v>45814</v>
      </c>
      <c r="C47" s="1" t="s">
        <v>216</v>
      </c>
      <c r="D47" s="1" t="s">
        <v>217</v>
      </c>
      <c r="E47" s="1" t="s">
        <v>141</v>
      </c>
      <c r="F47" s="1" t="s">
        <v>69</v>
      </c>
      <c r="G47" s="1" t="s">
        <v>120</v>
      </c>
      <c r="H47" s="1" t="s">
        <v>121</v>
      </c>
      <c r="I47" s="1" t="s">
        <v>20</v>
      </c>
      <c r="J47" s="1">
        <v>4</v>
      </c>
      <c r="K47" s="5">
        <v>1499</v>
      </c>
      <c r="L47" s="5">
        <v>5996</v>
      </c>
      <c r="M47" s="5">
        <v>1699.47</v>
      </c>
      <c r="N47" s="1" t="s">
        <v>45</v>
      </c>
      <c r="O47" s="1" t="s">
        <v>22</v>
      </c>
      <c r="P47" s="1" t="str">
        <f t="shared" si="0"/>
        <v>Medium Value</v>
      </c>
    </row>
    <row r="48" spans="1:16" x14ac:dyDescent="0.35">
      <c r="A48" s="3" t="s">
        <v>218</v>
      </c>
      <c r="B48" s="4">
        <v>45905</v>
      </c>
      <c r="C48" s="1" t="s">
        <v>207</v>
      </c>
      <c r="D48" s="1" t="s">
        <v>208</v>
      </c>
      <c r="E48" s="1" t="s">
        <v>41</v>
      </c>
      <c r="F48" s="1" t="s">
        <v>17</v>
      </c>
      <c r="G48" s="1" t="s">
        <v>131</v>
      </c>
      <c r="H48" s="1" t="s">
        <v>132</v>
      </c>
      <c r="I48" s="1" t="s">
        <v>44</v>
      </c>
      <c r="J48" s="1">
        <v>5</v>
      </c>
      <c r="K48" s="5">
        <v>494</v>
      </c>
      <c r="L48" s="5">
        <v>2470</v>
      </c>
      <c r="M48" s="5">
        <v>457.38</v>
      </c>
      <c r="N48" s="1" t="s">
        <v>59</v>
      </c>
      <c r="O48" s="1" t="s">
        <v>22</v>
      </c>
      <c r="P48" s="1" t="str">
        <f t="shared" si="0"/>
        <v>Low Value</v>
      </c>
    </row>
    <row r="49" spans="1:16" x14ac:dyDescent="0.35">
      <c r="A49" s="3" t="s">
        <v>219</v>
      </c>
      <c r="B49" s="4">
        <v>46020</v>
      </c>
      <c r="C49" s="1" t="s">
        <v>220</v>
      </c>
      <c r="D49" s="1" t="s">
        <v>221</v>
      </c>
      <c r="E49" s="1" t="s">
        <v>85</v>
      </c>
      <c r="F49" s="1" t="s">
        <v>86</v>
      </c>
      <c r="G49" s="1" t="s">
        <v>57</v>
      </c>
      <c r="H49" s="1" t="s">
        <v>58</v>
      </c>
      <c r="I49" s="1" t="s">
        <v>44</v>
      </c>
      <c r="J49" s="1">
        <v>1</v>
      </c>
      <c r="K49" s="5">
        <v>359</v>
      </c>
      <c r="L49" s="5">
        <v>305.14999999999998</v>
      </c>
      <c r="M49" s="5">
        <v>56.23</v>
      </c>
      <c r="N49" s="1" t="s">
        <v>45</v>
      </c>
      <c r="O49" s="1" t="s">
        <v>22</v>
      </c>
      <c r="P49" s="1" t="str">
        <f t="shared" si="0"/>
        <v>Low Value</v>
      </c>
    </row>
    <row r="50" spans="1:16" x14ac:dyDescent="0.35">
      <c r="A50" s="3" t="s">
        <v>222</v>
      </c>
      <c r="B50" s="4">
        <v>45710</v>
      </c>
      <c r="C50" s="1" t="s">
        <v>223</v>
      </c>
      <c r="D50" s="1" t="s">
        <v>224</v>
      </c>
      <c r="E50" s="1" t="s">
        <v>49</v>
      </c>
      <c r="F50" s="1" t="s">
        <v>49</v>
      </c>
      <c r="G50" s="1" t="s">
        <v>105</v>
      </c>
      <c r="H50" s="1" t="s">
        <v>106</v>
      </c>
      <c r="I50" s="1" t="s">
        <v>107</v>
      </c>
      <c r="J50" s="1">
        <v>8</v>
      </c>
      <c r="K50" s="5">
        <v>999</v>
      </c>
      <c r="L50" s="5">
        <v>7592.4</v>
      </c>
      <c r="M50" s="5">
        <v>1219.04</v>
      </c>
      <c r="N50" s="1" t="s">
        <v>89</v>
      </c>
      <c r="O50" s="1" t="s">
        <v>22</v>
      </c>
      <c r="P50" s="1" t="str">
        <f t="shared" si="0"/>
        <v>Medium Value</v>
      </c>
    </row>
    <row r="51" spans="1:16" x14ac:dyDescent="0.35">
      <c r="A51" s="3" t="s">
        <v>225</v>
      </c>
      <c r="B51" s="4">
        <v>45716</v>
      </c>
      <c r="C51" s="1" t="s">
        <v>226</v>
      </c>
      <c r="D51" s="1" t="s">
        <v>227</v>
      </c>
      <c r="E51" s="1" t="s">
        <v>145</v>
      </c>
      <c r="F51" s="1" t="s">
        <v>0</v>
      </c>
      <c r="G51" s="1" t="s">
        <v>105</v>
      </c>
      <c r="H51" s="1" t="s">
        <v>106</v>
      </c>
      <c r="I51" s="1" t="s">
        <v>107</v>
      </c>
      <c r="J51" s="1">
        <v>2</v>
      </c>
      <c r="K51" s="5">
        <v>1049</v>
      </c>
      <c r="L51" s="5">
        <v>1678.4</v>
      </c>
      <c r="M51" s="5">
        <v>454.88</v>
      </c>
      <c r="N51" s="1" t="s">
        <v>45</v>
      </c>
      <c r="O51" s="1" t="s">
        <v>22</v>
      </c>
      <c r="P51" s="1" t="str">
        <f t="shared" si="0"/>
        <v>Low Value</v>
      </c>
    </row>
    <row r="52" spans="1:16" x14ac:dyDescent="0.35">
      <c r="A52" s="3" t="s">
        <v>228</v>
      </c>
      <c r="B52" s="4">
        <v>45813</v>
      </c>
      <c r="C52" s="1" t="s">
        <v>229</v>
      </c>
      <c r="D52" s="1" t="s">
        <v>230</v>
      </c>
      <c r="E52" s="1" t="s">
        <v>141</v>
      </c>
      <c r="F52" s="1" t="s">
        <v>69</v>
      </c>
      <c r="G52" s="1" t="s">
        <v>120</v>
      </c>
      <c r="H52" s="1" t="s">
        <v>121</v>
      </c>
      <c r="I52" s="1" t="s">
        <v>20</v>
      </c>
      <c r="J52" s="1">
        <v>7</v>
      </c>
      <c r="K52" s="5">
        <v>1574</v>
      </c>
      <c r="L52" s="5">
        <v>9365.2999999999993</v>
      </c>
      <c r="M52" s="5">
        <v>2753.05</v>
      </c>
      <c r="N52" s="1" t="s">
        <v>45</v>
      </c>
      <c r="O52" s="1" t="s">
        <v>136</v>
      </c>
      <c r="P52" s="1" t="str">
        <f t="shared" si="0"/>
        <v>Medium Value</v>
      </c>
    </row>
    <row r="53" spans="1:16" x14ac:dyDescent="0.35">
      <c r="A53" s="3" t="s">
        <v>231</v>
      </c>
      <c r="B53" s="4">
        <v>45888</v>
      </c>
      <c r="C53" s="1" t="s">
        <v>232</v>
      </c>
      <c r="D53" s="1" t="s">
        <v>221</v>
      </c>
      <c r="E53" s="1" t="s">
        <v>49</v>
      </c>
      <c r="F53" s="1" t="s">
        <v>49</v>
      </c>
      <c r="G53" s="1" t="s">
        <v>28</v>
      </c>
      <c r="H53" s="1" t="s">
        <v>29</v>
      </c>
      <c r="I53" s="1" t="s">
        <v>30</v>
      </c>
      <c r="J53" s="1">
        <v>7</v>
      </c>
      <c r="K53" s="5">
        <v>1599</v>
      </c>
      <c r="L53" s="5">
        <v>9514.0499999999993</v>
      </c>
      <c r="M53" s="5">
        <v>2441.5500000000002</v>
      </c>
      <c r="N53" s="1" t="s">
        <v>21</v>
      </c>
      <c r="O53" s="1" t="s">
        <v>53</v>
      </c>
      <c r="P53" s="1" t="str">
        <f t="shared" si="0"/>
        <v>Medium Value</v>
      </c>
    </row>
    <row r="54" spans="1:16" x14ac:dyDescent="0.35">
      <c r="A54" s="3" t="s">
        <v>233</v>
      </c>
      <c r="B54" s="4">
        <v>45764</v>
      </c>
      <c r="C54" s="1" t="s">
        <v>234</v>
      </c>
      <c r="D54" s="1" t="s">
        <v>235</v>
      </c>
      <c r="E54" s="1" t="s">
        <v>236</v>
      </c>
      <c r="F54" s="1" t="s">
        <v>86</v>
      </c>
      <c r="G54" s="1" t="s">
        <v>57</v>
      </c>
      <c r="H54" s="1" t="s">
        <v>58</v>
      </c>
      <c r="I54" s="1" t="s">
        <v>44</v>
      </c>
      <c r="J54" s="1">
        <v>2</v>
      </c>
      <c r="K54" s="5">
        <v>399</v>
      </c>
      <c r="L54" s="5">
        <v>798</v>
      </c>
      <c r="M54" s="5">
        <v>126.27</v>
      </c>
      <c r="N54" s="1" t="s">
        <v>89</v>
      </c>
      <c r="O54" s="1" t="s">
        <v>22</v>
      </c>
      <c r="P54" s="1" t="str">
        <f t="shared" si="0"/>
        <v>Low Value</v>
      </c>
    </row>
    <row r="55" spans="1:16" x14ac:dyDescent="0.35">
      <c r="A55" s="3" t="s">
        <v>237</v>
      </c>
      <c r="B55" s="4">
        <v>45888</v>
      </c>
      <c r="C55" s="1" t="s">
        <v>238</v>
      </c>
      <c r="D55" s="1" t="s">
        <v>239</v>
      </c>
      <c r="E55" s="1" t="s">
        <v>16</v>
      </c>
      <c r="F55" s="1" t="s">
        <v>17</v>
      </c>
      <c r="G55" s="1" t="s">
        <v>70</v>
      </c>
      <c r="H55" s="1" t="s">
        <v>71</v>
      </c>
      <c r="I55" s="1" t="s">
        <v>44</v>
      </c>
      <c r="J55" s="1">
        <v>1</v>
      </c>
      <c r="K55" s="5">
        <v>3299</v>
      </c>
      <c r="L55" s="5">
        <v>3134.05</v>
      </c>
      <c r="M55" s="5">
        <v>863.53</v>
      </c>
      <c r="N55" s="1" t="s">
        <v>113</v>
      </c>
      <c r="O55" s="1" t="s">
        <v>22</v>
      </c>
      <c r="P55" s="1" t="str">
        <f t="shared" si="0"/>
        <v>Low Value</v>
      </c>
    </row>
    <row r="56" spans="1:16" x14ac:dyDescent="0.35">
      <c r="A56" s="3" t="s">
        <v>240</v>
      </c>
      <c r="B56" s="4">
        <v>45793</v>
      </c>
      <c r="C56" s="1" t="s">
        <v>234</v>
      </c>
      <c r="D56" s="1" t="s">
        <v>235</v>
      </c>
      <c r="E56" s="1" t="s">
        <v>236</v>
      </c>
      <c r="F56" s="1" t="s">
        <v>86</v>
      </c>
      <c r="G56" s="1" t="s">
        <v>87</v>
      </c>
      <c r="H56" s="1" t="s">
        <v>88</v>
      </c>
      <c r="I56" s="1" t="s">
        <v>52</v>
      </c>
      <c r="J56" s="1">
        <v>2</v>
      </c>
      <c r="K56" s="5">
        <v>6824</v>
      </c>
      <c r="L56" s="5">
        <v>13648</v>
      </c>
      <c r="M56" s="5">
        <v>3582.32</v>
      </c>
      <c r="N56" s="1" t="s">
        <v>59</v>
      </c>
      <c r="O56" s="1" t="s">
        <v>136</v>
      </c>
      <c r="P56" s="1" t="str">
        <f t="shared" si="0"/>
        <v>High Value</v>
      </c>
    </row>
    <row r="57" spans="1:16" x14ac:dyDescent="0.35">
      <c r="A57" s="3" t="s">
        <v>241</v>
      </c>
      <c r="B57" s="4">
        <v>45688</v>
      </c>
      <c r="C57" s="1" t="s">
        <v>170</v>
      </c>
      <c r="D57" s="1" t="s">
        <v>171</v>
      </c>
      <c r="E57" s="1" t="s">
        <v>49</v>
      </c>
      <c r="F57" s="1" t="s">
        <v>49</v>
      </c>
      <c r="G57" s="1" t="s">
        <v>131</v>
      </c>
      <c r="H57" s="1" t="s">
        <v>132</v>
      </c>
      <c r="I57" s="1" t="s">
        <v>44</v>
      </c>
      <c r="J57" s="1">
        <v>5</v>
      </c>
      <c r="K57" s="5">
        <v>549</v>
      </c>
      <c r="L57" s="5">
        <v>2745</v>
      </c>
      <c r="M57" s="5">
        <v>612.45000000000005</v>
      </c>
      <c r="N57" s="1" t="s">
        <v>59</v>
      </c>
      <c r="O57" s="1" t="s">
        <v>22</v>
      </c>
      <c r="P57" s="1" t="str">
        <f t="shared" si="0"/>
        <v>Low Value</v>
      </c>
    </row>
    <row r="58" spans="1:16" x14ac:dyDescent="0.35">
      <c r="A58" s="3" t="s">
        <v>242</v>
      </c>
      <c r="B58" s="4">
        <v>45914</v>
      </c>
      <c r="C58" s="1" t="s">
        <v>243</v>
      </c>
      <c r="D58" s="1" t="s">
        <v>244</v>
      </c>
      <c r="E58" s="1" t="s">
        <v>16</v>
      </c>
      <c r="F58" s="1" t="s">
        <v>17</v>
      </c>
      <c r="G58" s="1" t="s">
        <v>50</v>
      </c>
      <c r="H58" s="1" t="s">
        <v>51</v>
      </c>
      <c r="I58" s="1" t="s">
        <v>52</v>
      </c>
      <c r="J58" s="1">
        <v>2</v>
      </c>
      <c r="K58" s="5">
        <v>8399</v>
      </c>
      <c r="L58" s="5">
        <v>16798</v>
      </c>
      <c r="M58" s="5">
        <v>5302.68</v>
      </c>
      <c r="N58" s="1" t="s">
        <v>59</v>
      </c>
      <c r="O58" s="1" t="s">
        <v>22</v>
      </c>
      <c r="P58" s="1" t="str">
        <f t="shared" si="0"/>
        <v>High Value</v>
      </c>
    </row>
    <row r="59" spans="1:16" x14ac:dyDescent="0.35">
      <c r="A59" s="3" t="s">
        <v>245</v>
      </c>
      <c r="B59" s="4">
        <v>45704</v>
      </c>
      <c r="C59" s="1" t="s">
        <v>246</v>
      </c>
      <c r="D59" s="1" t="s">
        <v>247</v>
      </c>
      <c r="E59" s="1" t="s">
        <v>166</v>
      </c>
      <c r="F59" s="1" t="s">
        <v>27</v>
      </c>
      <c r="G59" s="1" t="s">
        <v>57</v>
      </c>
      <c r="H59" s="1" t="s">
        <v>58</v>
      </c>
      <c r="I59" s="1" t="s">
        <v>44</v>
      </c>
      <c r="J59" s="1">
        <v>1</v>
      </c>
      <c r="K59" s="5">
        <v>399</v>
      </c>
      <c r="L59" s="5">
        <v>359.1</v>
      </c>
      <c r="M59" s="5">
        <v>84.09</v>
      </c>
      <c r="N59" s="1" t="s">
        <v>113</v>
      </c>
      <c r="O59" s="1" t="s">
        <v>90</v>
      </c>
      <c r="P59" s="1" t="str">
        <f t="shared" si="0"/>
        <v>Low Value</v>
      </c>
    </row>
    <row r="60" spans="1:16" x14ac:dyDescent="0.35">
      <c r="A60" s="3" t="s">
        <v>248</v>
      </c>
      <c r="B60" s="4">
        <v>45957</v>
      </c>
      <c r="C60" s="1" t="s">
        <v>118</v>
      </c>
      <c r="D60" s="1" t="s">
        <v>119</v>
      </c>
      <c r="E60" s="1" t="s">
        <v>16</v>
      </c>
      <c r="F60" s="1" t="s">
        <v>17</v>
      </c>
      <c r="G60" s="1" t="s">
        <v>182</v>
      </c>
      <c r="H60" s="1" t="s">
        <v>183</v>
      </c>
      <c r="I60" s="1" t="s">
        <v>20</v>
      </c>
      <c r="J60" s="1">
        <v>8</v>
      </c>
      <c r="K60" s="5">
        <v>1799</v>
      </c>
      <c r="L60" s="5">
        <v>12952.8</v>
      </c>
      <c r="M60" s="5">
        <v>2504.14</v>
      </c>
      <c r="N60" s="1" t="s">
        <v>89</v>
      </c>
      <c r="O60" s="1" t="s">
        <v>136</v>
      </c>
      <c r="P60" s="1" t="str">
        <f t="shared" si="0"/>
        <v>High Value</v>
      </c>
    </row>
    <row r="61" spans="1:16" x14ac:dyDescent="0.35">
      <c r="A61" s="3" t="s">
        <v>249</v>
      </c>
      <c r="B61" s="4">
        <v>45868</v>
      </c>
      <c r="C61" s="1" t="s">
        <v>250</v>
      </c>
      <c r="D61" s="1" t="s">
        <v>251</v>
      </c>
      <c r="E61" s="1" t="s">
        <v>16</v>
      </c>
      <c r="F61" s="1" t="s">
        <v>17</v>
      </c>
      <c r="G61" s="1" t="s">
        <v>70</v>
      </c>
      <c r="H61" s="1" t="s">
        <v>71</v>
      </c>
      <c r="I61" s="1" t="s">
        <v>44</v>
      </c>
      <c r="J61" s="1">
        <v>7</v>
      </c>
      <c r="K61" s="5">
        <v>3464</v>
      </c>
      <c r="L61" s="5">
        <v>24248</v>
      </c>
      <c r="M61" s="5">
        <v>5336.06</v>
      </c>
      <c r="N61" s="1" t="s">
        <v>59</v>
      </c>
      <c r="O61" s="1" t="s">
        <v>22</v>
      </c>
      <c r="P61" s="1" t="str">
        <f t="shared" si="0"/>
        <v>High Value</v>
      </c>
    </row>
    <row r="62" spans="1:16" x14ac:dyDescent="0.35">
      <c r="A62" s="3" t="s">
        <v>252</v>
      </c>
      <c r="B62" s="4">
        <v>45864</v>
      </c>
      <c r="C62" s="1" t="s">
        <v>253</v>
      </c>
      <c r="D62" s="1" t="s">
        <v>244</v>
      </c>
      <c r="E62" s="1" t="s">
        <v>166</v>
      </c>
      <c r="F62" s="1" t="s">
        <v>27</v>
      </c>
      <c r="G62" s="1" t="s">
        <v>254</v>
      </c>
      <c r="H62" s="1" t="s">
        <v>255</v>
      </c>
      <c r="I62" s="1" t="s">
        <v>30</v>
      </c>
      <c r="J62" s="1">
        <v>8</v>
      </c>
      <c r="K62" s="5">
        <v>799</v>
      </c>
      <c r="L62" s="5">
        <v>6392</v>
      </c>
      <c r="M62" s="5">
        <v>1030.83</v>
      </c>
      <c r="N62" s="1" t="s">
        <v>59</v>
      </c>
      <c r="O62" s="1" t="s">
        <v>22</v>
      </c>
      <c r="P62" s="1" t="str">
        <f t="shared" si="0"/>
        <v>Medium Value</v>
      </c>
    </row>
    <row r="63" spans="1:16" x14ac:dyDescent="0.35">
      <c r="A63" s="3" t="s">
        <v>256</v>
      </c>
      <c r="B63" s="4">
        <v>45978</v>
      </c>
      <c r="C63" s="1" t="s">
        <v>232</v>
      </c>
      <c r="D63" s="1" t="s">
        <v>221</v>
      </c>
      <c r="E63" s="1" t="s">
        <v>26</v>
      </c>
      <c r="F63" s="1" t="s">
        <v>27</v>
      </c>
      <c r="G63" s="1" t="s">
        <v>161</v>
      </c>
      <c r="H63" s="1" t="s">
        <v>162</v>
      </c>
      <c r="I63" s="1" t="s">
        <v>37</v>
      </c>
      <c r="J63" s="1">
        <v>5</v>
      </c>
      <c r="K63" s="5">
        <v>2414</v>
      </c>
      <c r="L63" s="5">
        <v>12070</v>
      </c>
      <c r="M63" s="5">
        <v>3911.74</v>
      </c>
      <c r="N63" s="1" t="s">
        <v>113</v>
      </c>
      <c r="O63" s="1" t="s">
        <v>90</v>
      </c>
      <c r="P63" s="1" t="str">
        <f t="shared" si="0"/>
        <v>High Value</v>
      </c>
    </row>
    <row r="64" spans="1:16" x14ac:dyDescent="0.35">
      <c r="A64" s="3" t="s">
        <v>257</v>
      </c>
      <c r="B64" s="4">
        <v>45720</v>
      </c>
      <c r="C64" s="1" t="s">
        <v>115</v>
      </c>
      <c r="D64" s="1" t="s">
        <v>116</v>
      </c>
      <c r="E64" s="1" t="s">
        <v>141</v>
      </c>
      <c r="F64" s="1" t="s">
        <v>69</v>
      </c>
      <c r="G64" s="1" t="s">
        <v>198</v>
      </c>
      <c r="H64" s="1" t="s">
        <v>199</v>
      </c>
      <c r="I64" s="1" t="s">
        <v>37</v>
      </c>
      <c r="J64" s="1">
        <v>5</v>
      </c>
      <c r="K64" s="5">
        <v>734</v>
      </c>
      <c r="L64" s="5">
        <v>3670</v>
      </c>
      <c r="M64" s="5">
        <v>886.29</v>
      </c>
      <c r="N64" s="1" t="s">
        <v>89</v>
      </c>
      <c r="O64" s="1" t="s">
        <v>22</v>
      </c>
      <c r="P64" s="1" t="str">
        <f t="shared" si="0"/>
        <v>Low Value</v>
      </c>
    </row>
    <row r="65" spans="1:16" x14ac:dyDescent="0.35">
      <c r="A65" s="3" t="s">
        <v>258</v>
      </c>
      <c r="B65" s="4">
        <v>45894</v>
      </c>
      <c r="C65" s="1" t="s">
        <v>259</v>
      </c>
      <c r="D65" s="1" t="s">
        <v>260</v>
      </c>
      <c r="E65" s="1" t="s">
        <v>85</v>
      </c>
      <c r="F65" s="1" t="s">
        <v>86</v>
      </c>
      <c r="G65" s="1" t="s">
        <v>105</v>
      </c>
      <c r="H65" s="1" t="s">
        <v>106</v>
      </c>
      <c r="I65" s="1" t="s">
        <v>107</v>
      </c>
      <c r="J65" s="1">
        <v>5</v>
      </c>
      <c r="K65" s="2">
        <v>1049</v>
      </c>
      <c r="L65" s="5">
        <v>4196</v>
      </c>
      <c r="M65" s="5">
        <v>755.92</v>
      </c>
      <c r="N65" s="1" t="s">
        <v>113</v>
      </c>
      <c r="O65" s="1" t="s">
        <v>53</v>
      </c>
      <c r="P65" s="1" t="str">
        <f t="shared" si="0"/>
        <v>Low Value</v>
      </c>
    </row>
    <row r="66" spans="1:16" x14ac:dyDescent="0.35">
      <c r="A66" s="3" t="s">
        <v>261</v>
      </c>
      <c r="B66" s="4">
        <v>45891</v>
      </c>
      <c r="C66" s="1" t="s">
        <v>83</v>
      </c>
      <c r="D66" s="1" t="s">
        <v>84</v>
      </c>
      <c r="E66" s="1" t="s">
        <v>85</v>
      </c>
      <c r="F66" s="1" t="s">
        <v>86</v>
      </c>
      <c r="G66" s="1" t="s">
        <v>262</v>
      </c>
      <c r="H66" s="1" t="s">
        <v>263</v>
      </c>
      <c r="I66" s="1" t="s">
        <v>97</v>
      </c>
      <c r="J66" s="1">
        <v>4</v>
      </c>
      <c r="K66" s="2">
        <v>156</v>
      </c>
      <c r="L66" s="5">
        <v>530.4</v>
      </c>
      <c r="M66" s="5">
        <v>150.72999999999999</v>
      </c>
      <c r="N66" s="1" t="s">
        <v>45</v>
      </c>
      <c r="O66" s="1" t="s">
        <v>90</v>
      </c>
      <c r="P66" s="1" t="str">
        <f t="shared" ref="P66:P129" si="1">IF(L66&gt;=10000,"High Value",IF(L66&gt;=5000,"Medium Value","Low Value"))</f>
        <v>Low Value</v>
      </c>
    </row>
    <row r="67" spans="1:16" x14ac:dyDescent="0.35">
      <c r="A67" s="3" t="s">
        <v>264</v>
      </c>
      <c r="B67" s="4">
        <v>45870</v>
      </c>
      <c r="C67" s="1" t="s">
        <v>265</v>
      </c>
      <c r="D67" s="1" t="s">
        <v>266</v>
      </c>
      <c r="E67" s="1" t="s">
        <v>41</v>
      </c>
      <c r="F67" s="1" t="s">
        <v>17</v>
      </c>
      <c r="G67" s="1" t="s">
        <v>57</v>
      </c>
      <c r="H67" s="1" t="s">
        <v>58</v>
      </c>
      <c r="I67" s="1" t="s">
        <v>44</v>
      </c>
      <c r="J67" s="1">
        <v>1</v>
      </c>
      <c r="K67" s="2">
        <v>399</v>
      </c>
      <c r="L67" s="5">
        <v>319.2</v>
      </c>
      <c r="M67" s="5">
        <v>59.27</v>
      </c>
      <c r="N67" s="1" t="s">
        <v>21</v>
      </c>
      <c r="O67" s="1" t="s">
        <v>22</v>
      </c>
      <c r="P67" s="1" t="str">
        <f t="shared" si="1"/>
        <v>Low Value</v>
      </c>
    </row>
    <row r="68" spans="1:16" x14ac:dyDescent="0.35">
      <c r="A68" s="3" t="s">
        <v>267</v>
      </c>
      <c r="B68" s="4">
        <v>45908</v>
      </c>
      <c r="C68" s="1" t="s">
        <v>268</v>
      </c>
      <c r="D68" s="1" t="s">
        <v>269</v>
      </c>
      <c r="E68" s="1" t="s">
        <v>172</v>
      </c>
      <c r="F68" s="1" t="s">
        <v>173</v>
      </c>
      <c r="G68" s="1" t="s">
        <v>254</v>
      </c>
      <c r="H68" s="1" t="s">
        <v>255</v>
      </c>
      <c r="I68" s="1" t="s">
        <v>30</v>
      </c>
      <c r="J68" s="1">
        <v>8</v>
      </c>
      <c r="K68" s="2">
        <v>799</v>
      </c>
      <c r="L68" s="5">
        <v>6072.4</v>
      </c>
      <c r="M68" s="5">
        <v>1466.01</v>
      </c>
      <c r="N68" s="1" t="s">
        <v>21</v>
      </c>
      <c r="O68" s="1" t="s">
        <v>22</v>
      </c>
      <c r="P68" s="1" t="str">
        <f t="shared" si="1"/>
        <v>Medium Value</v>
      </c>
    </row>
    <row r="69" spans="1:16" x14ac:dyDescent="0.35">
      <c r="A69" s="3" t="s">
        <v>270</v>
      </c>
      <c r="B69" s="4">
        <v>45754</v>
      </c>
      <c r="C69" s="1" t="s">
        <v>147</v>
      </c>
      <c r="D69" s="1" t="s">
        <v>148</v>
      </c>
      <c r="E69" s="1" t="s">
        <v>141</v>
      </c>
      <c r="F69" s="1" t="s">
        <v>69</v>
      </c>
      <c r="G69" s="1" t="s">
        <v>28</v>
      </c>
      <c r="H69" s="1" t="s">
        <v>29</v>
      </c>
      <c r="I69" s="1" t="s">
        <v>30</v>
      </c>
      <c r="J69" s="1">
        <v>7</v>
      </c>
      <c r="K69" s="2">
        <v>1599</v>
      </c>
      <c r="L69" s="5">
        <v>10073.700000000001</v>
      </c>
      <c r="M69" s="5">
        <v>1305.58</v>
      </c>
      <c r="N69" s="1" t="s">
        <v>113</v>
      </c>
      <c r="O69" s="1" t="s">
        <v>22</v>
      </c>
      <c r="P69" s="1" t="str">
        <f t="shared" si="1"/>
        <v>High Value</v>
      </c>
    </row>
    <row r="70" spans="1:16" x14ac:dyDescent="0.35">
      <c r="A70" s="3" t="s">
        <v>271</v>
      </c>
      <c r="B70" s="4">
        <v>45855</v>
      </c>
      <c r="C70" s="1" t="s">
        <v>14</v>
      </c>
      <c r="D70" s="1" t="s">
        <v>15</v>
      </c>
      <c r="E70" s="1" t="s">
        <v>85</v>
      </c>
      <c r="F70" s="1" t="s">
        <v>86</v>
      </c>
      <c r="G70" s="1" t="s">
        <v>105</v>
      </c>
      <c r="H70" s="1" t="s">
        <v>106</v>
      </c>
      <c r="I70" s="1" t="s">
        <v>107</v>
      </c>
      <c r="J70" s="1">
        <v>1</v>
      </c>
      <c r="K70" s="2">
        <v>999</v>
      </c>
      <c r="L70" s="5">
        <v>849.15</v>
      </c>
      <c r="M70" s="5">
        <v>282.24</v>
      </c>
      <c r="N70" s="1" t="s">
        <v>59</v>
      </c>
      <c r="O70" s="1" t="s">
        <v>90</v>
      </c>
      <c r="P70" s="1" t="str">
        <f t="shared" si="1"/>
        <v>Low Value</v>
      </c>
    </row>
    <row r="71" spans="1:16" x14ac:dyDescent="0.35">
      <c r="A71" s="3" t="s">
        <v>272</v>
      </c>
      <c r="B71" s="4">
        <v>45709</v>
      </c>
      <c r="C71" s="1" t="s">
        <v>273</v>
      </c>
      <c r="D71" s="1" t="s">
        <v>274</v>
      </c>
      <c r="E71" s="1" t="s">
        <v>172</v>
      </c>
      <c r="F71" s="1" t="s">
        <v>173</v>
      </c>
      <c r="G71" s="1" t="s">
        <v>63</v>
      </c>
      <c r="H71" s="1" t="s">
        <v>64</v>
      </c>
      <c r="I71" s="1" t="s">
        <v>20</v>
      </c>
      <c r="J71" s="1">
        <v>3</v>
      </c>
      <c r="K71" s="2">
        <v>599</v>
      </c>
      <c r="L71" s="5">
        <v>1437.6</v>
      </c>
      <c r="M71" s="5">
        <v>479.28</v>
      </c>
      <c r="N71" s="1" t="s">
        <v>89</v>
      </c>
      <c r="O71" s="1" t="s">
        <v>22</v>
      </c>
      <c r="P71" s="1" t="str">
        <f t="shared" si="1"/>
        <v>Low Value</v>
      </c>
    </row>
    <row r="72" spans="1:16" x14ac:dyDescent="0.35">
      <c r="A72" s="3" t="s">
        <v>275</v>
      </c>
      <c r="B72" s="4">
        <v>45831</v>
      </c>
      <c r="C72" s="1" t="s">
        <v>276</v>
      </c>
      <c r="D72" s="1" t="s">
        <v>277</v>
      </c>
      <c r="E72" s="1" t="s">
        <v>145</v>
      </c>
      <c r="F72" s="1" t="s">
        <v>0</v>
      </c>
      <c r="G72" s="1" t="s">
        <v>182</v>
      </c>
      <c r="H72" s="1" t="s">
        <v>183</v>
      </c>
      <c r="I72" s="1" t="s">
        <v>20</v>
      </c>
      <c r="J72" s="1">
        <v>6</v>
      </c>
      <c r="K72" s="2">
        <v>1979</v>
      </c>
      <c r="L72" s="5">
        <v>10092.9</v>
      </c>
      <c r="M72" s="5">
        <v>2054.94</v>
      </c>
      <c r="N72" s="1" t="s">
        <v>59</v>
      </c>
      <c r="O72" s="1" t="s">
        <v>22</v>
      </c>
      <c r="P72" s="1" t="str">
        <f t="shared" si="1"/>
        <v>High Value</v>
      </c>
    </row>
    <row r="73" spans="1:16" x14ac:dyDescent="0.35">
      <c r="A73" s="3" t="s">
        <v>278</v>
      </c>
      <c r="B73" s="4">
        <v>45935</v>
      </c>
      <c r="C73" s="1" t="s">
        <v>279</v>
      </c>
      <c r="D73" s="1" t="s">
        <v>280</v>
      </c>
      <c r="E73" s="1" t="s">
        <v>34</v>
      </c>
      <c r="F73" s="1" t="s">
        <v>27</v>
      </c>
      <c r="G73" s="1" t="s">
        <v>35</v>
      </c>
      <c r="H73" s="1" t="s">
        <v>36</v>
      </c>
      <c r="I73" s="1" t="s">
        <v>37</v>
      </c>
      <c r="J73" s="1">
        <v>5</v>
      </c>
      <c r="K73" s="2">
        <v>1299</v>
      </c>
      <c r="L73" s="5">
        <v>5196</v>
      </c>
      <c r="M73" s="5">
        <v>726.83</v>
      </c>
      <c r="N73" s="1" t="s">
        <v>89</v>
      </c>
      <c r="O73" s="1" t="s">
        <v>136</v>
      </c>
      <c r="P73" s="1" t="str">
        <f t="shared" si="1"/>
        <v>Medium Value</v>
      </c>
    </row>
    <row r="74" spans="1:16" x14ac:dyDescent="0.35">
      <c r="A74" s="3" t="s">
        <v>281</v>
      </c>
      <c r="B74" s="4">
        <v>45709</v>
      </c>
      <c r="C74" s="1" t="s">
        <v>232</v>
      </c>
      <c r="D74" s="1" t="s">
        <v>221</v>
      </c>
      <c r="E74" s="1" t="s">
        <v>101</v>
      </c>
      <c r="F74" s="1" t="s">
        <v>86</v>
      </c>
      <c r="G74" s="1" t="s">
        <v>70</v>
      </c>
      <c r="H74" s="1" t="s">
        <v>71</v>
      </c>
      <c r="I74" s="1" t="s">
        <v>44</v>
      </c>
      <c r="J74" s="1">
        <v>1</v>
      </c>
      <c r="K74" s="2">
        <v>2969</v>
      </c>
      <c r="L74" s="5">
        <v>2820.55</v>
      </c>
      <c r="M74" s="5">
        <v>832.49</v>
      </c>
      <c r="N74" s="1" t="s">
        <v>59</v>
      </c>
      <c r="O74" s="1" t="s">
        <v>22</v>
      </c>
      <c r="P74" s="1" t="str">
        <f t="shared" si="1"/>
        <v>Low Value</v>
      </c>
    </row>
    <row r="75" spans="1:16" x14ac:dyDescent="0.35">
      <c r="A75" s="3" t="s">
        <v>282</v>
      </c>
      <c r="B75" s="4">
        <v>45732</v>
      </c>
      <c r="C75" s="1" t="s">
        <v>283</v>
      </c>
      <c r="D75" s="1" t="s">
        <v>284</v>
      </c>
      <c r="E75" s="1" t="s">
        <v>41</v>
      </c>
      <c r="F75" s="1" t="s">
        <v>17</v>
      </c>
      <c r="G75" s="1" t="s">
        <v>87</v>
      </c>
      <c r="H75" s="1" t="s">
        <v>88</v>
      </c>
      <c r="I75" s="1" t="s">
        <v>52</v>
      </c>
      <c r="J75" s="1">
        <v>3</v>
      </c>
      <c r="K75" s="2">
        <v>6499</v>
      </c>
      <c r="L75" s="5">
        <v>19497</v>
      </c>
      <c r="M75" s="5">
        <v>2678.36</v>
      </c>
      <c r="N75" s="1" t="s">
        <v>113</v>
      </c>
      <c r="O75" s="1" t="s">
        <v>22</v>
      </c>
      <c r="P75" s="1" t="str">
        <f t="shared" si="1"/>
        <v>High Value</v>
      </c>
    </row>
    <row r="76" spans="1:16" x14ac:dyDescent="0.35">
      <c r="A76" s="3" t="s">
        <v>285</v>
      </c>
      <c r="B76" s="4">
        <v>45912</v>
      </c>
      <c r="C76" s="1" t="s">
        <v>286</v>
      </c>
      <c r="D76" s="1" t="s">
        <v>287</v>
      </c>
      <c r="E76" s="1" t="s">
        <v>85</v>
      </c>
      <c r="F76" s="1" t="s">
        <v>86</v>
      </c>
      <c r="G76" s="1" t="s">
        <v>35</v>
      </c>
      <c r="H76" s="1" t="s">
        <v>36</v>
      </c>
      <c r="I76" s="1" t="s">
        <v>37</v>
      </c>
      <c r="J76" s="1">
        <v>8</v>
      </c>
      <c r="K76" s="2">
        <v>1429</v>
      </c>
      <c r="L76" s="5">
        <v>10860.4</v>
      </c>
      <c r="M76" s="5">
        <v>2401.29</v>
      </c>
      <c r="N76" s="1" t="s">
        <v>89</v>
      </c>
      <c r="O76" s="1" t="s">
        <v>90</v>
      </c>
      <c r="P76" s="1" t="str">
        <f t="shared" si="1"/>
        <v>High Value</v>
      </c>
    </row>
    <row r="77" spans="1:16" x14ac:dyDescent="0.35">
      <c r="A77" s="3" t="s">
        <v>288</v>
      </c>
      <c r="B77" s="4">
        <v>45805</v>
      </c>
      <c r="C77" s="1" t="s">
        <v>129</v>
      </c>
      <c r="D77" s="1" t="s">
        <v>130</v>
      </c>
      <c r="E77" s="1" t="s">
        <v>80</v>
      </c>
      <c r="F77" s="1" t="s">
        <v>81</v>
      </c>
      <c r="G77" s="1" t="s">
        <v>198</v>
      </c>
      <c r="H77" s="1" t="s">
        <v>199</v>
      </c>
      <c r="I77" s="1" t="s">
        <v>37</v>
      </c>
      <c r="J77" s="1">
        <v>2</v>
      </c>
      <c r="K77" s="2">
        <v>699</v>
      </c>
      <c r="L77" s="5">
        <v>1328.1</v>
      </c>
      <c r="M77" s="5">
        <v>447.95</v>
      </c>
      <c r="N77" s="1" t="s">
        <v>59</v>
      </c>
      <c r="O77" s="1" t="s">
        <v>22</v>
      </c>
      <c r="P77" s="1" t="str">
        <f t="shared" si="1"/>
        <v>Low Value</v>
      </c>
    </row>
    <row r="78" spans="1:16" x14ac:dyDescent="0.35">
      <c r="A78" s="3" t="s">
        <v>289</v>
      </c>
      <c r="B78" s="4">
        <v>46011</v>
      </c>
      <c r="C78" s="1" t="s">
        <v>216</v>
      </c>
      <c r="D78" s="1" t="s">
        <v>217</v>
      </c>
      <c r="E78" s="1" t="s">
        <v>172</v>
      </c>
      <c r="F78" s="1" t="s">
        <v>173</v>
      </c>
      <c r="G78" s="1" t="s">
        <v>70</v>
      </c>
      <c r="H78" s="1" t="s">
        <v>71</v>
      </c>
      <c r="I78" s="1" t="s">
        <v>44</v>
      </c>
      <c r="J78" s="1">
        <v>4</v>
      </c>
      <c r="K78" s="2">
        <v>3299</v>
      </c>
      <c r="L78" s="5">
        <v>11876.4</v>
      </c>
      <c r="M78" s="5">
        <v>1703.83</v>
      </c>
      <c r="N78" s="1" t="s">
        <v>113</v>
      </c>
      <c r="O78" s="1" t="s">
        <v>22</v>
      </c>
      <c r="P78" s="1" t="str">
        <f t="shared" si="1"/>
        <v>High Value</v>
      </c>
    </row>
    <row r="79" spans="1:16" x14ac:dyDescent="0.35">
      <c r="A79" s="3" t="s">
        <v>290</v>
      </c>
      <c r="B79" s="4">
        <v>45809</v>
      </c>
      <c r="C79" s="1" t="s">
        <v>291</v>
      </c>
      <c r="D79" s="1" t="s">
        <v>292</v>
      </c>
      <c r="E79" s="1" t="s">
        <v>49</v>
      </c>
      <c r="F79" s="1" t="s">
        <v>49</v>
      </c>
      <c r="G79" s="1" t="s">
        <v>63</v>
      </c>
      <c r="H79" s="1" t="s">
        <v>64</v>
      </c>
      <c r="I79" s="1" t="s">
        <v>20</v>
      </c>
      <c r="J79" s="1">
        <v>7</v>
      </c>
      <c r="K79" s="2">
        <v>599</v>
      </c>
      <c r="L79" s="5">
        <v>4193</v>
      </c>
      <c r="M79" s="5">
        <v>1025.21</v>
      </c>
      <c r="N79" s="1" t="s">
        <v>89</v>
      </c>
      <c r="O79" s="1" t="s">
        <v>90</v>
      </c>
      <c r="P79" s="1" t="str">
        <f t="shared" si="1"/>
        <v>Low Value</v>
      </c>
    </row>
    <row r="80" spans="1:16" x14ac:dyDescent="0.35">
      <c r="A80" s="3" t="s">
        <v>293</v>
      </c>
      <c r="B80" s="4">
        <v>45912</v>
      </c>
      <c r="C80" s="1" t="s">
        <v>294</v>
      </c>
      <c r="D80" s="1" t="s">
        <v>116</v>
      </c>
      <c r="E80" s="1" t="s">
        <v>141</v>
      </c>
      <c r="F80" s="1" t="s">
        <v>69</v>
      </c>
      <c r="G80" s="1" t="s">
        <v>131</v>
      </c>
      <c r="H80" s="1" t="s">
        <v>132</v>
      </c>
      <c r="I80" s="1" t="s">
        <v>44</v>
      </c>
      <c r="J80" s="1">
        <v>6</v>
      </c>
      <c r="K80" s="2">
        <v>549</v>
      </c>
      <c r="L80" s="5">
        <v>2635.2</v>
      </c>
      <c r="M80" s="5">
        <v>426.45</v>
      </c>
      <c r="N80" s="1" t="s">
        <v>59</v>
      </c>
      <c r="O80" s="1" t="s">
        <v>22</v>
      </c>
      <c r="P80" s="1" t="str">
        <f t="shared" si="1"/>
        <v>Low Value</v>
      </c>
    </row>
    <row r="81" spans="1:16" x14ac:dyDescent="0.35">
      <c r="A81" s="3" t="s">
        <v>295</v>
      </c>
      <c r="B81" s="4">
        <v>45995</v>
      </c>
      <c r="C81" s="1" t="s">
        <v>296</v>
      </c>
      <c r="D81" s="1" t="s">
        <v>297</v>
      </c>
      <c r="E81" s="1" t="s">
        <v>85</v>
      </c>
      <c r="F81" s="1" t="s">
        <v>86</v>
      </c>
      <c r="G81" s="1" t="s">
        <v>120</v>
      </c>
      <c r="H81" s="1" t="s">
        <v>121</v>
      </c>
      <c r="I81" s="1" t="s">
        <v>20</v>
      </c>
      <c r="J81" s="1">
        <v>1</v>
      </c>
      <c r="K81" s="2">
        <v>1499</v>
      </c>
      <c r="L81" s="5">
        <v>1349.1</v>
      </c>
      <c r="M81" s="5">
        <v>171.79</v>
      </c>
      <c r="N81" s="1" t="s">
        <v>59</v>
      </c>
      <c r="O81" s="1" t="s">
        <v>22</v>
      </c>
      <c r="P81" s="1" t="str">
        <f t="shared" si="1"/>
        <v>Low Value</v>
      </c>
    </row>
    <row r="82" spans="1:16" x14ac:dyDescent="0.35">
      <c r="A82" s="3" t="s">
        <v>298</v>
      </c>
      <c r="B82" s="4">
        <v>45809</v>
      </c>
      <c r="C82" s="1" t="s">
        <v>299</v>
      </c>
      <c r="D82" s="1" t="s">
        <v>300</v>
      </c>
      <c r="E82" s="1" t="s">
        <v>75</v>
      </c>
      <c r="F82" s="1" t="s">
        <v>76</v>
      </c>
      <c r="G82" s="1" t="s">
        <v>198</v>
      </c>
      <c r="H82" s="1" t="s">
        <v>199</v>
      </c>
      <c r="I82" s="1" t="s">
        <v>37</v>
      </c>
      <c r="J82" s="1">
        <v>4</v>
      </c>
      <c r="K82" s="2">
        <v>699</v>
      </c>
      <c r="L82" s="5">
        <v>2376.6</v>
      </c>
      <c r="M82" s="5">
        <v>743.45</v>
      </c>
      <c r="N82" s="1" t="s">
        <v>59</v>
      </c>
      <c r="O82" s="1" t="s">
        <v>22</v>
      </c>
      <c r="P82" s="1" t="str">
        <f t="shared" si="1"/>
        <v>Low Value</v>
      </c>
    </row>
    <row r="83" spans="1:16" x14ac:dyDescent="0.35">
      <c r="A83" s="3" t="s">
        <v>301</v>
      </c>
      <c r="B83" s="4">
        <v>45742</v>
      </c>
      <c r="C83" s="1" t="s">
        <v>302</v>
      </c>
      <c r="D83" s="1" t="s">
        <v>303</v>
      </c>
      <c r="E83" s="1" t="s">
        <v>16</v>
      </c>
      <c r="F83" s="1" t="s">
        <v>17</v>
      </c>
      <c r="G83" s="1" t="s">
        <v>70</v>
      </c>
      <c r="H83" s="1" t="s">
        <v>71</v>
      </c>
      <c r="I83" s="1" t="s">
        <v>44</v>
      </c>
      <c r="J83" s="1">
        <v>6</v>
      </c>
      <c r="K83" s="2">
        <v>2969</v>
      </c>
      <c r="L83" s="5">
        <v>16032.6</v>
      </c>
      <c r="M83" s="5">
        <v>5320.2</v>
      </c>
      <c r="N83" s="1" t="s">
        <v>45</v>
      </c>
      <c r="O83" s="1" t="s">
        <v>22</v>
      </c>
      <c r="P83" s="1" t="str">
        <f t="shared" si="1"/>
        <v>High Value</v>
      </c>
    </row>
    <row r="84" spans="1:16" x14ac:dyDescent="0.35">
      <c r="A84" s="3" t="s">
        <v>304</v>
      </c>
      <c r="B84" s="4">
        <v>46004</v>
      </c>
      <c r="C84" s="1" t="s">
        <v>305</v>
      </c>
      <c r="D84" s="1" t="s">
        <v>306</v>
      </c>
      <c r="E84" s="1" t="s">
        <v>145</v>
      </c>
      <c r="F84" s="1" t="s">
        <v>0</v>
      </c>
      <c r="G84" s="1" t="s">
        <v>254</v>
      </c>
      <c r="H84" s="1" t="s">
        <v>255</v>
      </c>
      <c r="I84" s="1" t="s">
        <v>30</v>
      </c>
      <c r="J84" s="1">
        <v>6</v>
      </c>
      <c r="K84" s="2">
        <v>719</v>
      </c>
      <c r="L84" s="5">
        <v>3882.6</v>
      </c>
      <c r="M84" s="5">
        <v>477.8</v>
      </c>
      <c r="N84" s="1" t="s">
        <v>21</v>
      </c>
      <c r="O84" s="1" t="s">
        <v>22</v>
      </c>
      <c r="P84" s="1" t="str">
        <f t="shared" si="1"/>
        <v>Low Value</v>
      </c>
    </row>
    <row r="85" spans="1:16" x14ac:dyDescent="0.35">
      <c r="A85" s="3" t="s">
        <v>307</v>
      </c>
      <c r="B85" s="4">
        <v>46002</v>
      </c>
      <c r="C85" s="1" t="s">
        <v>305</v>
      </c>
      <c r="D85" s="1" t="s">
        <v>306</v>
      </c>
      <c r="E85" s="1" t="s">
        <v>68</v>
      </c>
      <c r="F85" s="1" t="s">
        <v>69</v>
      </c>
      <c r="G85" s="1" t="s">
        <v>28</v>
      </c>
      <c r="H85" s="1" t="s">
        <v>29</v>
      </c>
      <c r="I85" s="1" t="s">
        <v>30</v>
      </c>
      <c r="J85" s="1">
        <v>7</v>
      </c>
      <c r="K85" s="2">
        <v>1759</v>
      </c>
      <c r="L85" s="5">
        <v>11697.35</v>
      </c>
      <c r="M85" s="5">
        <v>1682.5</v>
      </c>
      <c r="N85" s="1" t="s">
        <v>45</v>
      </c>
      <c r="O85" s="1" t="s">
        <v>22</v>
      </c>
      <c r="P85" s="1" t="str">
        <f t="shared" si="1"/>
        <v>High Value</v>
      </c>
    </row>
    <row r="86" spans="1:16" x14ac:dyDescent="0.35">
      <c r="A86" s="3" t="s">
        <v>308</v>
      </c>
      <c r="B86" s="4">
        <v>45945</v>
      </c>
      <c r="C86" s="1" t="s">
        <v>299</v>
      </c>
      <c r="D86" s="1" t="s">
        <v>300</v>
      </c>
      <c r="E86" s="1" t="s">
        <v>141</v>
      </c>
      <c r="F86" s="1" t="s">
        <v>69</v>
      </c>
      <c r="G86" s="1" t="s">
        <v>182</v>
      </c>
      <c r="H86" s="1" t="s">
        <v>183</v>
      </c>
      <c r="I86" s="1" t="s">
        <v>20</v>
      </c>
      <c r="J86" s="1">
        <v>8</v>
      </c>
      <c r="K86" s="2">
        <v>1979</v>
      </c>
      <c r="L86" s="5">
        <v>15040.4</v>
      </c>
      <c r="M86" s="5">
        <v>3953.11</v>
      </c>
      <c r="N86" s="1" t="s">
        <v>89</v>
      </c>
      <c r="O86" s="1" t="s">
        <v>22</v>
      </c>
      <c r="P86" s="1" t="str">
        <f t="shared" si="1"/>
        <v>High Value</v>
      </c>
    </row>
    <row r="87" spans="1:16" x14ac:dyDescent="0.35">
      <c r="A87" s="3" t="s">
        <v>309</v>
      </c>
      <c r="B87" s="4">
        <v>45813</v>
      </c>
      <c r="C87" s="1" t="s">
        <v>143</v>
      </c>
      <c r="D87" s="1" t="s">
        <v>144</v>
      </c>
      <c r="E87" s="1" t="s">
        <v>94</v>
      </c>
      <c r="F87" s="1" t="s">
        <v>27</v>
      </c>
      <c r="G87" s="1" t="s">
        <v>120</v>
      </c>
      <c r="H87" s="1" t="s">
        <v>121</v>
      </c>
      <c r="I87" s="1" t="s">
        <v>20</v>
      </c>
      <c r="J87" s="1">
        <v>4</v>
      </c>
      <c r="K87" s="2">
        <v>1574</v>
      </c>
      <c r="L87" s="5">
        <v>6296</v>
      </c>
      <c r="M87" s="5">
        <v>1293.8399999999999</v>
      </c>
      <c r="N87" s="1" t="s">
        <v>59</v>
      </c>
      <c r="O87" s="1" t="s">
        <v>22</v>
      </c>
      <c r="P87" s="1" t="str">
        <f t="shared" si="1"/>
        <v>Medium Value</v>
      </c>
    </row>
    <row r="88" spans="1:16" x14ac:dyDescent="0.35">
      <c r="A88" s="3" t="s">
        <v>310</v>
      </c>
      <c r="B88" s="4">
        <v>46014</v>
      </c>
      <c r="C88" s="1" t="s">
        <v>243</v>
      </c>
      <c r="D88" s="1" t="s">
        <v>244</v>
      </c>
      <c r="E88" s="1" t="s">
        <v>75</v>
      </c>
      <c r="F88" s="1" t="s">
        <v>76</v>
      </c>
      <c r="G88" s="1" t="s">
        <v>28</v>
      </c>
      <c r="H88" s="1" t="s">
        <v>29</v>
      </c>
      <c r="I88" s="1" t="s">
        <v>30</v>
      </c>
      <c r="J88" s="1">
        <v>3</v>
      </c>
      <c r="K88" s="2">
        <v>1599</v>
      </c>
      <c r="L88" s="5">
        <v>3837.6</v>
      </c>
      <c r="M88" s="5">
        <v>544.11</v>
      </c>
      <c r="N88" s="1" t="s">
        <v>113</v>
      </c>
      <c r="O88" s="1" t="s">
        <v>22</v>
      </c>
      <c r="P88" s="1" t="str">
        <f t="shared" si="1"/>
        <v>Low Value</v>
      </c>
    </row>
    <row r="89" spans="1:16" x14ac:dyDescent="0.35">
      <c r="A89" s="3" t="s">
        <v>311</v>
      </c>
      <c r="B89" s="4">
        <v>45674</v>
      </c>
      <c r="C89" s="1" t="s">
        <v>238</v>
      </c>
      <c r="D89" s="1" t="s">
        <v>239</v>
      </c>
      <c r="E89" s="1" t="s">
        <v>312</v>
      </c>
      <c r="F89" s="1" t="s">
        <v>112</v>
      </c>
      <c r="G89" s="1" t="s">
        <v>161</v>
      </c>
      <c r="H89" s="1" t="s">
        <v>162</v>
      </c>
      <c r="I89" s="1" t="s">
        <v>37</v>
      </c>
      <c r="J89" s="1">
        <v>8</v>
      </c>
      <c r="K89" s="2">
        <v>2299</v>
      </c>
      <c r="L89" s="5">
        <v>18392</v>
      </c>
      <c r="M89" s="5">
        <v>5668.4</v>
      </c>
      <c r="N89" s="1" t="s">
        <v>89</v>
      </c>
      <c r="O89" s="1" t="s">
        <v>53</v>
      </c>
      <c r="P89" s="1" t="str">
        <f t="shared" si="1"/>
        <v>High Value</v>
      </c>
    </row>
    <row r="90" spans="1:16" x14ac:dyDescent="0.35">
      <c r="A90" s="3" t="s">
        <v>313</v>
      </c>
      <c r="B90" s="4">
        <v>45936</v>
      </c>
      <c r="C90" s="1" t="s">
        <v>47</v>
      </c>
      <c r="D90" s="1" t="s">
        <v>48</v>
      </c>
      <c r="E90" s="1" t="s">
        <v>312</v>
      </c>
      <c r="F90" s="1" t="s">
        <v>112</v>
      </c>
      <c r="G90" s="1" t="s">
        <v>177</v>
      </c>
      <c r="H90" s="1" t="s">
        <v>178</v>
      </c>
      <c r="I90" s="1" t="s">
        <v>20</v>
      </c>
      <c r="J90" s="1">
        <v>7</v>
      </c>
      <c r="K90" s="2">
        <v>2499</v>
      </c>
      <c r="L90" s="5">
        <v>17493</v>
      </c>
      <c r="M90" s="5">
        <v>5825.27</v>
      </c>
      <c r="N90" s="1" t="s">
        <v>113</v>
      </c>
      <c r="O90" s="1" t="s">
        <v>22</v>
      </c>
      <c r="P90" s="1" t="str">
        <f t="shared" si="1"/>
        <v>High Value</v>
      </c>
    </row>
    <row r="91" spans="1:16" x14ac:dyDescent="0.35">
      <c r="A91" s="3" t="s">
        <v>314</v>
      </c>
      <c r="B91" s="4">
        <v>45986</v>
      </c>
      <c r="C91" s="1" t="s">
        <v>315</v>
      </c>
      <c r="D91" s="1" t="s">
        <v>316</v>
      </c>
      <c r="E91" s="1" t="s">
        <v>166</v>
      </c>
      <c r="F91" s="1" t="s">
        <v>27</v>
      </c>
      <c r="G91" s="1" t="s">
        <v>177</v>
      </c>
      <c r="H91" s="1" t="s">
        <v>178</v>
      </c>
      <c r="I91" s="1" t="s">
        <v>20</v>
      </c>
      <c r="J91" s="1">
        <v>6</v>
      </c>
      <c r="K91" s="2">
        <v>2499</v>
      </c>
      <c r="L91" s="5">
        <v>14994</v>
      </c>
      <c r="M91" s="5">
        <v>4395.2700000000004</v>
      </c>
      <c r="N91" s="1" t="s">
        <v>45</v>
      </c>
      <c r="O91" s="1" t="s">
        <v>22</v>
      </c>
      <c r="P91" s="1" t="str">
        <f t="shared" si="1"/>
        <v>High Value</v>
      </c>
    </row>
    <row r="92" spans="1:16" x14ac:dyDescent="0.35">
      <c r="A92" s="3" t="s">
        <v>317</v>
      </c>
      <c r="B92" s="4">
        <v>45764</v>
      </c>
      <c r="C92" s="1" t="s">
        <v>318</v>
      </c>
      <c r="D92" s="1" t="s">
        <v>319</v>
      </c>
      <c r="E92" s="1" t="s">
        <v>236</v>
      </c>
      <c r="F92" s="1" t="s">
        <v>86</v>
      </c>
      <c r="G92" s="1" t="s">
        <v>35</v>
      </c>
      <c r="H92" s="1" t="s">
        <v>36</v>
      </c>
      <c r="I92" s="1" t="s">
        <v>37</v>
      </c>
      <c r="J92" s="1">
        <v>6</v>
      </c>
      <c r="K92" s="2">
        <v>1299</v>
      </c>
      <c r="L92" s="5">
        <v>6624.9</v>
      </c>
      <c r="M92" s="5">
        <v>799.12</v>
      </c>
      <c r="N92" s="1" t="s">
        <v>45</v>
      </c>
      <c r="O92" s="1" t="s">
        <v>53</v>
      </c>
      <c r="P92" s="1" t="str">
        <f t="shared" si="1"/>
        <v>Medium Value</v>
      </c>
    </row>
    <row r="93" spans="1:16" x14ac:dyDescent="0.35">
      <c r="A93" s="3" t="s">
        <v>320</v>
      </c>
      <c r="B93" s="4">
        <v>45786</v>
      </c>
      <c r="C93" s="1" t="s">
        <v>321</v>
      </c>
      <c r="D93" s="1" t="s">
        <v>322</v>
      </c>
      <c r="E93" s="1" t="s">
        <v>94</v>
      </c>
      <c r="F93" s="1" t="s">
        <v>27</v>
      </c>
      <c r="G93" s="1" t="s">
        <v>63</v>
      </c>
      <c r="H93" s="1" t="s">
        <v>64</v>
      </c>
      <c r="I93" s="1" t="s">
        <v>20</v>
      </c>
      <c r="J93" s="1">
        <v>3</v>
      </c>
      <c r="K93" s="2">
        <v>539</v>
      </c>
      <c r="L93" s="5">
        <v>1536.15</v>
      </c>
      <c r="M93" s="5">
        <v>451.32</v>
      </c>
      <c r="N93" s="1" t="s">
        <v>45</v>
      </c>
      <c r="O93" s="1" t="s">
        <v>22</v>
      </c>
      <c r="P93" s="1" t="str">
        <f t="shared" si="1"/>
        <v>Low Value</v>
      </c>
    </row>
    <row r="94" spans="1:16" x14ac:dyDescent="0.35">
      <c r="A94" s="3" t="s">
        <v>323</v>
      </c>
      <c r="B94" s="4">
        <v>45747</v>
      </c>
      <c r="C94" s="1" t="s">
        <v>324</v>
      </c>
      <c r="D94" s="1" t="s">
        <v>325</v>
      </c>
      <c r="E94" s="1" t="s">
        <v>26</v>
      </c>
      <c r="F94" s="1" t="s">
        <v>27</v>
      </c>
      <c r="G94" s="1" t="s">
        <v>18</v>
      </c>
      <c r="H94" s="1" t="s">
        <v>19</v>
      </c>
      <c r="I94" s="1" t="s">
        <v>20</v>
      </c>
      <c r="J94" s="1">
        <v>7</v>
      </c>
      <c r="K94" s="2">
        <v>4199</v>
      </c>
      <c r="L94" s="5">
        <v>29393</v>
      </c>
      <c r="M94" s="5">
        <v>8348.9699999999993</v>
      </c>
      <c r="N94" s="1" t="s">
        <v>113</v>
      </c>
      <c r="O94" s="1" t="s">
        <v>22</v>
      </c>
      <c r="P94" s="1" t="str">
        <f t="shared" si="1"/>
        <v>High Value</v>
      </c>
    </row>
    <row r="95" spans="1:16" x14ac:dyDescent="0.35">
      <c r="A95" s="3" t="s">
        <v>326</v>
      </c>
      <c r="B95" s="4">
        <v>45920</v>
      </c>
      <c r="C95" s="1" t="s">
        <v>327</v>
      </c>
      <c r="D95" s="1" t="s">
        <v>328</v>
      </c>
      <c r="E95" s="1" t="s">
        <v>94</v>
      </c>
      <c r="F95" s="1" t="s">
        <v>27</v>
      </c>
      <c r="G95" s="1" t="s">
        <v>50</v>
      </c>
      <c r="H95" s="1" t="s">
        <v>51</v>
      </c>
      <c r="I95" s="1" t="s">
        <v>52</v>
      </c>
      <c r="J95" s="1">
        <v>4</v>
      </c>
      <c r="K95" s="2">
        <v>8399</v>
      </c>
      <c r="L95" s="5">
        <v>33596</v>
      </c>
      <c r="M95" s="5">
        <v>9406.66</v>
      </c>
      <c r="N95" s="1" t="s">
        <v>21</v>
      </c>
      <c r="O95" s="1" t="s">
        <v>22</v>
      </c>
      <c r="P95" s="1" t="str">
        <f t="shared" si="1"/>
        <v>High Value</v>
      </c>
    </row>
    <row r="96" spans="1:16" x14ac:dyDescent="0.35">
      <c r="A96" s="3" t="s">
        <v>329</v>
      </c>
      <c r="B96" s="4">
        <v>45673</v>
      </c>
      <c r="C96" s="1" t="s">
        <v>330</v>
      </c>
      <c r="D96" s="1" t="s">
        <v>287</v>
      </c>
      <c r="E96" s="1" t="s">
        <v>16</v>
      </c>
      <c r="F96" s="1" t="s">
        <v>17</v>
      </c>
      <c r="G96" s="1" t="s">
        <v>262</v>
      </c>
      <c r="H96" s="1" t="s">
        <v>263</v>
      </c>
      <c r="I96" s="1" t="s">
        <v>97</v>
      </c>
      <c r="J96" s="1">
        <v>7</v>
      </c>
      <c r="K96" s="2">
        <v>164</v>
      </c>
      <c r="L96" s="5">
        <v>1148</v>
      </c>
      <c r="M96" s="5">
        <v>261.58</v>
      </c>
      <c r="N96" s="1" t="s">
        <v>113</v>
      </c>
      <c r="O96" s="1" t="s">
        <v>22</v>
      </c>
      <c r="P96" s="1" t="str">
        <f t="shared" si="1"/>
        <v>Low Value</v>
      </c>
    </row>
    <row r="97" spans="1:16" x14ac:dyDescent="0.35">
      <c r="A97" s="3" t="s">
        <v>331</v>
      </c>
      <c r="B97" s="4">
        <v>45822</v>
      </c>
      <c r="C97" s="1" t="s">
        <v>134</v>
      </c>
      <c r="D97" s="1" t="s">
        <v>135</v>
      </c>
      <c r="E97" s="1" t="s">
        <v>85</v>
      </c>
      <c r="F97" s="1" t="s">
        <v>86</v>
      </c>
      <c r="G97" s="1" t="s">
        <v>182</v>
      </c>
      <c r="H97" s="1" t="s">
        <v>183</v>
      </c>
      <c r="I97" s="1" t="s">
        <v>20</v>
      </c>
      <c r="J97" s="1">
        <v>3</v>
      </c>
      <c r="K97" s="2">
        <v>1799</v>
      </c>
      <c r="L97" s="5">
        <v>4587.45</v>
      </c>
      <c r="M97" s="5">
        <v>1189.42</v>
      </c>
      <c r="N97" s="1" t="s">
        <v>21</v>
      </c>
      <c r="O97" s="1" t="s">
        <v>22</v>
      </c>
      <c r="P97" s="1" t="str">
        <f t="shared" si="1"/>
        <v>Low Value</v>
      </c>
    </row>
    <row r="98" spans="1:16" x14ac:dyDescent="0.35">
      <c r="A98" s="3" t="s">
        <v>332</v>
      </c>
      <c r="B98" s="4">
        <v>45963</v>
      </c>
      <c r="C98" s="1" t="s">
        <v>150</v>
      </c>
      <c r="D98" s="1" t="s">
        <v>151</v>
      </c>
      <c r="E98" s="1" t="s">
        <v>49</v>
      </c>
      <c r="F98" s="1" t="s">
        <v>49</v>
      </c>
      <c r="G98" s="1" t="s">
        <v>50</v>
      </c>
      <c r="H98" s="1" t="s">
        <v>51</v>
      </c>
      <c r="I98" s="1" t="s">
        <v>52</v>
      </c>
      <c r="J98" s="1">
        <v>7</v>
      </c>
      <c r="K98" s="2">
        <v>7199</v>
      </c>
      <c r="L98" s="5">
        <v>40314.400000000001</v>
      </c>
      <c r="M98" s="5">
        <v>5852.49</v>
      </c>
      <c r="N98" s="1" t="s">
        <v>21</v>
      </c>
      <c r="O98" s="1" t="s">
        <v>22</v>
      </c>
      <c r="P98" s="1" t="str">
        <f t="shared" si="1"/>
        <v>High Value</v>
      </c>
    </row>
    <row r="99" spans="1:16" x14ac:dyDescent="0.35">
      <c r="A99" s="3" t="s">
        <v>333</v>
      </c>
      <c r="B99" s="4">
        <v>45878</v>
      </c>
      <c r="C99" s="1" t="s">
        <v>334</v>
      </c>
      <c r="D99" s="1" t="s">
        <v>335</v>
      </c>
      <c r="E99" s="1" t="s">
        <v>141</v>
      </c>
      <c r="F99" s="1" t="s">
        <v>69</v>
      </c>
      <c r="G99" s="1" t="s">
        <v>87</v>
      </c>
      <c r="H99" s="1" t="s">
        <v>88</v>
      </c>
      <c r="I99" s="1" t="s">
        <v>52</v>
      </c>
      <c r="J99" s="1">
        <v>6</v>
      </c>
      <c r="K99" s="2">
        <v>6499</v>
      </c>
      <c r="L99" s="5">
        <v>35094.6</v>
      </c>
      <c r="M99" s="5">
        <v>7423.13</v>
      </c>
      <c r="N99" s="1" t="s">
        <v>89</v>
      </c>
      <c r="O99" s="1" t="s">
        <v>22</v>
      </c>
      <c r="P99" s="1" t="str">
        <f t="shared" si="1"/>
        <v>High Value</v>
      </c>
    </row>
    <row r="100" spans="1:16" x14ac:dyDescent="0.35">
      <c r="A100" s="3" t="s">
        <v>336</v>
      </c>
      <c r="B100" s="4">
        <v>45998</v>
      </c>
      <c r="C100" s="1" t="s">
        <v>302</v>
      </c>
      <c r="D100" s="1" t="s">
        <v>303</v>
      </c>
      <c r="E100" s="1" t="s">
        <v>312</v>
      </c>
      <c r="F100" s="1" t="s">
        <v>112</v>
      </c>
      <c r="G100" s="1" t="s">
        <v>18</v>
      </c>
      <c r="H100" s="1" t="s">
        <v>19</v>
      </c>
      <c r="I100" s="1" t="s">
        <v>20</v>
      </c>
      <c r="J100" s="1">
        <v>8</v>
      </c>
      <c r="K100" s="2">
        <v>3599</v>
      </c>
      <c r="L100" s="5">
        <v>28792</v>
      </c>
      <c r="M100" s="5">
        <v>8723.68</v>
      </c>
      <c r="N100" s="1" t="s">
        <v>89</v>
      </c>
      <c r="O100" s="1" t="s">
        <v>22</v>
      </c>
      <c r="P100" s="1" t="str">
        <f t="shared" si="1"/>
        <v>High Value</v>
      </c>
    </row>
    <row r="101" spans="1:16" x14ac:dyDescent="0.35">
      <c r="A101" s="3" t="s">
        <v>337</v>
      </c>
      <c r="B101" s="4">
        <v>45848</v>
      </c>
      <c r="C101" s="1" t="s">
        <v>338</v>
      </c>
      <c r="D101" s="1" t="s">
        <v>339</v>
      </c>
      <c r="E101" s="1" t="s">
        <v>80</v>
      </c>
      <c r="F101" s="1" t="s">
        <v>81</v>
      </c>
      <c r="G101" s="1" t="s">
        <v>177</v>
      </c>
      <c r="H101" s="1" t="s">
        <v>178</v>
      </c>
      <c r="I101" s="1" t="s">
        <v>20</v>
      </c>
      <c r="J101" s="1">
        <v>6</v>
      </c>
      <c r="K101" s="2">
        <v>2749</v>
      </c>
      <c r="L101" s="5">
        <v>16494</v>
      </c>
      <c r="M101" s="5">
        <v>3469.97</v>
      </c>
      <c r="N101" s="1" t="s">
        <v>113</v>
      </c>
      <c r="O101" s="1" t="s">
        <v>90</v>
      </c>
      <c r="P101" s="1" t="str">
        <f t="shared" si="1"/>
        <v>High Value</v>
      </c>
    </row>
    <row r="102" spans="1:16" x14ac:dyDescent="0.35">
      <c r="A102" s="3" t="s">
        <v>340</v>
      </c>
      <c r="B102" s="4">
        <v>45684</v>
      </c>
      <c r="C102" s="1" t="s">
        <v>294</v>
      </c>
      <c r="D102" s="1" t="s">
        <v>116</v>
      </c>
      <c r="E102" s="1" t="s">
        <v>49</v>
      </c>
      <c r="F102" s="1" t="s">
        <v>49</v>
      </c>
      <c r="G102" s="1" t="s">
        <v>95</v>
      </c>
      <c r="H102" s="1" t="s">
        <v>96</v>
      </c>
      <c r="I102" s="1" t="s">
        <v>97</v>
      </c>
      <c r="J102" s="1">
        <v>2</v>
      </c>
      <c r="K102" s="2">
        <v>261</v>
      </c>
      <c r="L102" s="5">
        <v>443.7</v>
      </c>
      <c r="M102" s="5">
        <v>74.010000000000005</v>
      </c>
      <c r="N102" s="1" t="s">
        <v>113</v>
      </c>
      <c r="O102" s="1" t="s">
        <v>22</v>
      </c>
      <c r="P102" s="1" t="str">
        <f t="shared" si="1"/>
        <v>Low Value</v>
      </c>
    </row>
    <row r="103" spans="1:16" x14ac:dyDescent="0.35">
      <c r="A103" s="3" t="s">
        <v>341</v>
      </c>
      <c r="B103" s="4">
        <v>45837</v>
      </c>
      <c r="C103" s="1" t="s">
        <v>342</v>
      </c>
      <c r="D103" s="1" t="s">
        <v>343</v>
      </c>
      <c r="E103" s="1" t="s">
        <v>312</v>
      </c>
      <c r="F103" s="1" t="s">
        <v>112</v>
      </c>
      <c r="G103" s="1" t="s">
        <v>120</v>
      </c>
      <c r="H103" s="1" t="s">
        <v>121</v>
      </c>
      <c r="I103" s="1" t="s">
        <v>20</v>
      </c>
      <c r="J103" s="1">
        <v>5</v>
      </c>
      <c r="K103" s="2">
        <v>1574</v>
      </c>
      <c r="L103" s="5">
        <v>7870</v>
      </c>
      <c r="M103" s="5">
        <v>2342.02</v>
      </c>
      <c r="N103" s="1" t="s">
        <v>21</v>
      </c>
      <c r="O103" s="1" t="s">
        <v>53</v>
      </c>
      <c r="P103" s="1" t="str">
        <f t="shared" si="1"/>
        <v>Medium Value</v>
      </c>
    </row>
    <row r="104" spans="1:16" x14ac:dyDescent="0.35">
      <c r="A104" s="3" t="s">
        <v>344</v>
      </c>
      <c r="B104" s="4">
        <v>45972</v>
      </c>
      <c r="C104" s="1" t="s">
        <v>305</v>
      </c>
      <c r="D104" s="1" t="s">
        <v>306</v>
      </c>
      <c r="E104" s="1" t="s">
        <v>80</v>
      </c>
      <c r="F104" s="1" t="s">
        <v>81</v>
      </c>
      <c r="G104" s="1" t="s">
        <v>63</v>
      </c>
      <c r="H104" s="1" t="s">
        <v>64</v>
      </c>
      <c r="I104" s="1" t="s">
        <v>20</v>
      </c>
      <c r="J104" s="1">
        <v>5</v>
      </c>
      <c r="K104" s="2">
        <v>539</v>
      </c>
      <c r="L104" s="5">
        <v>2695</v>
      </c>
      <c r="M104" s="5">
        <v>485.42</v>
      </c>
      <c r="N104" s="1" t="s">
        <v>59</v>
      </c>
      <c r="O104" s="1" t="s">
        <v>90</v>
      </c>
      <c r="P104" s="1" t="str">
        <f t="shared" si="1"/>
        <v>Low Value</v>
      </c>
    </row>
    <row r="105" spans="1:16" x14ac:dyDescent="0.35">
      <c r="A105" s="3" t="s">
        <v>345</v>
      </c>
      <c r="B105" s="4">
        <v>45661</v>
      </c>
      <c r="C105" s="1" t="s">
        <v>346</v>
      </c>
      <c r="D105" s="1" t="s">
        <v>347</v>
      </c>
      <c r="E105" s="1" t="s">
        <v>85</v>
      </c>
      <c r="F105" s="1" t="s">
        <v>86</v>
      </c>
      <c r="G105" s="1" t="s">
        <v>28</v>
      </c>
      <c r="H105" s="1" t="s">
        <v>29</v>
      </c>
      <c r="I105" s="1" t="s">
        <v>30</v>
      </c>
      <c r="J105" s="1">
        <v>7</v>
      </c>
      <c r="K105" s="2">
        <v>1439</v>
      </c>
      <c r="L105" s="5">
        <v>10073</v>
      </c>
      <c r="M105" s="5">
        <v>2850.79</v>
      </c>
      <c r="N105" s="1" t="s">
        <v>89</v>
      </c>
      <c r="O105" s="1" t="s">
        <v>22</v>
      </c>
      <c r="P105" s="1" t="str">
        <f t="shared" si="1"/>
        <v>High Value</v>
      </c>
    </row>
    <row r="106" spans="1:16" x14ac:dyDescent="0.35">
      <c r="A106" s="3" t="s">
        <v>348</v>
      </c>
      <c r="B106" s="4">
        <v>45768</v>
      </c>
      <c r="C106" s="1" t="s">
        <v>349</v>
      </c>
      <c r="D106" s="1" t="s">
        <v>350</v>
      </c>
      <c r="E106" s="1" t="s">
        <v>75</v>
      </c>
      <c r="F106" s="1" t="s">
        <v>76</v>
      </c>
      <c r="G106" s="1" t="s">
        <v>50</v>
      </c>
      <c r="H106" s="1" t="s">
        <v>51</v>
      </c>
      <c r="I106" s="1" t="s">
        <v>52</v>
      </c>
      <c r="J106" s="1">
        <v>6</v>
      </c>
      <c r="K106" s="2">
        <v>7999</v>
      </c>
      <c r="L106" s="5">
        <v>45594.3</v>
      </c>
      <c r="M106" s="5">
        <v>8597.27</v>
      </c>
      <c r="N106" s="1" t="s">
        <v>59</v>
      </c>
      <c r="O106" s="1" t="s">
        <v>136</v>
      </c>
      <c r="P106" s="1" t="str">
        <f t="shared" si="1"/>
        <v>High Value</v>
      </c>
    </row>
    <row r="107" spans="1:16" x14ac:dyDescent="0.35">
      <c r="A107" s="3" t="s">
        <v>351</v>
      </c>
      <c r="B107" s="4">
        <v>45963</v>
      </c>
      <c r="C107" s="1" t="s">
        <v>229</v>
      </c>
      <c r="D107" s="1" t="s">
        <v>230</v>
      </c>
      <c r="E107" s="1" t="s">
        <v>26</v>
      </c>
      <c r="F107" s="1" t="s">
        <v>27</v>
      </c>
      <c r="G107" s="1" t="s">
        <v>18</v>
      </c>
      <c r="H107" s="1" t="s">
        <v>19</v>
      </c>
      <c r="I107" s="1" t="s">
        <v>20</v>
      </c>
      <c r="J107" s="1">
        <v>3</v>
      </c>
      <c r="K107" s="2">
        <v>4199</v>
      </c>
      <c r="L107" s="5">
        <v>12597</v>
      </c>
      <c r="M107" s="5">
        <v>3379.44</v>
      </c>
      <c r="N107" s="1" t="s">
        <v>59</v>
      </c>
      <c r="O107" s="1" t="s">
        <v>22</v>
      </c>
      <c r="P107" s="1" t="str">
        <f t="shared" si="1"/>
        <v>High Value</v>
      </c>
    </row>
    <row r="108" spans="1:16" x14ac:dyDescent="0.35">
      <c r="A108" s="3" t="s">
        <v>352</v>
      </c>
      <c r="B108" s="4">
        <v>45906</v>
      </c>
      <c r="C108" s="1" t="s">
        <v>134</v>
      </c>
      <c r="D108" s="1" t="s">
        <v>135</v>
      </c>
      <c r="E108" s="1" t="s">
        <v>172</v>
      </c>
      <c r="F108" s="1" t="s">
        <v>173</v>
      </c>
      <c r="G108" s="1" t="s">
        <v>87</v>
      </c>
      <c r="H108" s="1" t="s">
        <v>88</v>
      </c>
      <c r="I108" s="1" t="s">
        <v>52</v>
      </c>
      <c r="J108" s="1">
        <v>5</v>
      </c>
      <c r="K108" s="2">
        <v>6499</v>
      </c>
      <c r="L108" s="5">
        <v>27620.75</v>
      </c>
      <c r="M108" s="5">
        <v>4006.11</v>
      </c>
      <c r="N108" s="1" t="s">
        <v>113</v>
      </c>
      <c r="O108" s="1" t="s">
        <v>22</v>
      </c>
      <c r="P108" s="1" t="str">
        <f t="shared" si="1"/>
        <v>High Value</v>
      </c>
    </row>
    <row r="109" spans="1:16" x14ac:dyDescent="0.35">
      <c r="A109" s="3" t="s">
        <v>353</v>
      </c>
      <c r="B109" s="4">
        <v>46005</v>
      </c>
      <c r="C109" s="1" t="s">
        <v>327</v>
      </c>
      <c r="D109" s="1" t="s">
        <v>328</v>
      </c>
      <c r="E109" s="1" t="s">
        <v>16</v>
      </c>
      <c r="F109" s="1" t="s">
        <v>17</v>
      </c>
      <c r="G109" s="1" t="s">
        <v>213</v>
      </c>
      <c r="H109" s="1" t="s">
        <v>214</v>
      </c>
      <c r="I109" s="1" t="s">
        <v>107</v>
      </c>
      <c r="J109" s="1">
        <v>5</v>
      </c>
      <c r="K109" s="2">
        <v>1709</v>
      </c>
      <c r="L109" s="5">
        <v>8545</v>
      </c>
      <c r="M109" s="5">
        <v>1768.46</v>
      </c>
      <c r="N109" s="1" t="s">
        <v>21</v>
      </c>
      <c r="O109" s="1" t="s">
        <v>22</v>
      </c>
      <c r="P109" s="1" t="str">
        <f t="shared" si="1"/>
        <v>Medium Value</v>
      </c>
    </row>
    <row r="110" spans="1:16" x14ac:dyDescent="0.35">
      <c r="A110" s="3" t="s">
        <v>354</v>
      </c>
      <c r="B110" s="4">
        <v>45812</v>
      </c>
      <c r="C110" s="1" t="s">
        <v>55</v>
      </c>
      <c r="D110" s="1" t="s">
        <v>56</v>
      </c>
      <c r="E110" s="1" t="s">
        <v>85</v>
      </c>
      <c r="F110" s="1" t="s">
        <v>86</v>
      </c>
      <c r="G110" s="1" t="s">
        <v>57</v>
      </c>
      <c r="H110" s="1" t="s">
        <v>58</v>
      </c>
      <c r="I110" s="1" t="s">
        <v>44</v>
      </c>
      <c r="J110" s="1">
        <v>5</v>
      </c>
      <c r="K110" s="2">
        <v>399</v>
      </c>
      <c r="L110" s="5">
        <v>1995</v>
      </c>
      <c r="M110" s="5">
        <v>242.79</v>
      </c>
      <c r="N110" s="1" t="s">
        <v>113</v>
      </c>
      <c r="O110" s="1" t="s">
        <v>22</v>
      </c>
      <c r="P110" s="1" t="str">
        <f t="shared" si="1"/>
        <v>Low Value</v>
      </c>
    </row>
    <row r="111" spans="1:16" x14ac:dyDescent="0.35">
      <c r="A111" s="3" t="s">
        <v>355</v>
      </c>
      <c r="B111" s="4">
        <v>45930</v>
      </c>
      <c r="C111" s="1" t="s">
        <v>246</v>
      </c>
      <c r="D111" s="1" t="s">
        <v>247</v>
      </c>
      <c r="E111" s="1" t="s">
        <v>41</v>
      </c>
      <c r="F111" s="1" t="s">
        <v>17</v>
      </c>
      <c r="G111" s="1" t="s">
        <v>254</v>
      </c>
      <c r="H111" s="1" t="s">
        <v>255</v>
      </c>
      <c r="I111" s="1" t="s">
        <v>30</v>
      </c>
      <c r="J111" s="1">
        <v>6</v>
      </c>
      <c r="K111" s="2">
        <v>719</v>
      </c>
      <c r="L111" s="5">
        <v>3882.6</v>
      </c>
      <c r="M111" s="5">
        <v>1202.01</v>
      </c>
      <c r="N111" s="1" t="s">
        <v>89</v>
      </c>
      <c r="O111" s="1" t="s">
        <v>22</v>
      </c>
      <c r="P111" s="1" t="str">
        <f t="shared" si="1"/>
        <v>Low Value</v>
      </c>
    </row>
    <row r="112" spans="1:16" x14ac:dyDescent="0.35">
      <c r="A112" s="3" t="s">
        <v>356</v>
      </c>
      <c r="B112" s="4">
        <v>45697</v>
      </c>
      <c r="C112" s="1" t="s">
        <v>357</v>
      </c>
      <c r="D112" s="1" t="s">
        <v>328</v>
      </c>
      <c r="E112" s="1" t="s">
        <v>75</v>
      </c>
      <c r="F112" s="1" t="s">
        <v>76</v>
      </c>
      <c r="G112" s="1" t="s">
        <v>28</v>
      </c>
      <c r="H112" s="1" t="s">
        <v>29</v>
      </c>
      <c r="I112" s="1" t="s">
        <v>30</v>
      </c>
      <c r="J112" s="1">
        <v>7</v>
      </c>
      <c r="K112" s="2">
        <v>1759</v>
      </c>
      <c r="L112" s="5">
        <v>9850.4</v>
      </c>
      <c r="M112" s="5">
        <v>2087.23</v>
      </c>
      <c r="N112" s="1" t="s">
        <v>89</v>
      </c>
      <c r="O112" s="1" t="s">
        <v>22</v>
      </c>
      <c r="P112" s="1" t="str">
        <f t="shared" si="1"/>
        <v>Medium Value</v>
      </c>
    </row>
    <row r="113" spans="1:16" x14ac:dyDescent="0.35">
      <c r="A113" s="3" t="s">
        <v>358</v>
      </c>
      <c r="B113" s="4">
        <v>45745</v>
      </c>
      <c r="C113" s="1" t="s">
        <v>359</v>
      </c>
      <c r="D113" s="1" t="s">
        <v>360</v>
      </c>
      <c r="E113" s="1" t="s">
        <v>172</v>
      </c>
      <c r="F113" s="1" t="s">
        <v>173</v>
      </c>
      <c r="G113" s="1" t="s">
        <v>95</v>
      </c>
      <c r="H113" s="1" t="s">
        <v>96</v>
      </c>
      <c r="I113" s="1" t="s">
        <v>97</v>
      </c>
      <c r="J113" s="1">
        <v>2</v>
      </c>
      <c r="K113" s="2">
        <v>249</v>
      </c>
      <c r="L113" s="5">
        <v>498</v>
      </c>
      <c r="M113" s="5">
        <v>86.42</v>
      </c>
      <c r="N113" s="1" t="s">
        <v>21</v>
      </c>
      <c r="O113" s="1" t="s">
        <v>22</v>
      </c>
      <c r="P113" s="1" t="str">
        <f t="shared" si="1"/>
        <v>Low Value</v>
      </c>
    </row>
    <row r="114" spans="1:16" x14ac:dyDescent="0.35">
      <c r="A114" s="3" t="s">
        <v>361</v>
      </c>
      <c r="B114" s="4">
        <v>45860</v>
      </c>
      <c r="C114" s="1" t="s">
        <v>362</v>
      </c>
      <c r="D114" s="1" t="s">
        <v>363</v>
      </c>
      <c r="E114" s="1" t="s">
        <v>111</v>
      </c>
      <c r="F114" s="1" t="s">
        <v>112</v>
      </c>
      <c r="G114" s="1" t="s">
        <v>35</v>
      </c>
      <c r="H114" s="1" t="s">
        <v>36</v>
      </c>
      <c r="I114" s="1" t="s">
        <v>37</v>
      </c>
      <c r="J114" s="1">
        <v>6</v>
      </c>
      <c r="K114" s="2">
        <v>1299</v>
      </c>
      <c r="L114" s="5">
        <v>7794</v>
      </c>
      <c r="M114" s="5">
        <v>1810.6</v>
      </c>
      <c r="N114" s="1" t="s">
        <v>89</v>
      </c>
      <c r="O114" s="1" t="s">
        <v>22</v>
      </c>
      <c r="P114" s="1" t="str">
        <f t="shared" si="1"/>
        <v>Medium Value</v>
      </c>
    </row>
    <row r="115" spans="1:16" x14ac:dyDescent="0.35">
      <c r="A115" s="3" t="s">
        <v>364</v>
      </c>
      <c r="B115" s="4">
        <v>45836</v>
      </c>
      <c r="C115" s="1" t="s">
        <v>365</v>
      </c>
      <c r="D115" s="1" t="s">
        <v>366</v>
      </c>
      <c r="E115" s="1" t="s">
        <v>85</v>
      </c>
      <c r="F115" s="1" t="s">
        <v>86</v>
      </c>
      <c r="G115" s="1" t="s">
        <v>35</v>
      </c>
      <c r="H115" s="1" t="s">
        <v>36</v>
      </c>
      <c r="I115" s="1" t="s">
        <v>37</v>
      </c>
      <c r="J115" s="1">
        <v>2</v>
      </c>
      <c r="K115" s="2">
        <v>1299</v>
      </c>
      <c r="L115" s="5">
        <v>2468.1</v>
      </c>
      <c r="M115" s="5">
        <v>403.29</v>
      </c>
      <c r="N115" s="1" t="s">
        <v>21</v>
      </c>
      <c r="O115" s="1" t="s">
        <v>22</v>
      </c>
      <c r="P115" s="1" t="str">
        <f t="shared" si="1"/>
        <v>Low Value</v>
      </c>
    </row>
    <row r="116" spans="1:16" x14ac:dyDescent="0.35">
      <c r="A116" s="3" t="s">
        <v>367</v>
      </c>
      <c r="B116" s="4">
        <v>45696</v>
      </c>
      <c r="C116" s="1" t="s">
        <v>368</v>
      </c>
      <c r="D116" s="1" t="s">
        <v>217</v>
      </c>
      <c r="E116" s="1" t="s">
        <v>16</v>
      </c>
      <c r="F116" s="1" t="s">
        <v>17</v>
      </c>
      <c r="G116" s="1" t="s">
        <v>50</v>
      </c>
      <c r="H116" s="1" t="s">
        <v>51</v>
      </c>
      <c r="I116" s="1" t="s">
        <v>52</v>
      </c>
      <c r="J116" s="1">
        <v>8</v>
      </c>
      <c r="K116" s="2">
        <v>8799</v>
      </c>
      <c r="L116" s="5">
        <v>59833.2</v>
      </c>
      <c r="M116" s="5">
        <v>15643.88</v>
      </c>
      <c r="N116" s="1" t="s">
        <v>21</v>
      </c>
      <c r="O116" s="1" t="s">
        <v>22</v>
      </c>
      <c r="P116" s="1" t="str">
        <f t="shared" si="1"/>
        <v>High Value</v>
      </c>
    </row>
    <row r="117" spans="1:16" x14ac:dyDescent="0.35">
      <c r="A117" s="3" t="s">
        <v>369</v>
      </c>
      <c r="B117" s="4">
        <v>45819</v>
      </c>
      <c r="C117" s="1" t="s">
        <v>268</v>
      </c>
      <c r="D117" s="1" t="s">
        <v>269</v>
      </c>
      <c r="E117" s="1" t="s">
        <v>172</v>
      </c>
      <c r="F117" s="1" t="s">
        <v>173</v>
      </c>
      <c r="G117" s="1" t="s">
        <v>182</v>
      </c>
      <c r="H117" s="1" t="s">
        <v>183</v>
      </c>
      <c r="I117" s="1" t="s">
        <v>20</v>
      </c>
      <c r="J117" s="1">
        <v>8</v>
      </c>
      <c r="K117" s="2">
        <v>1799</v>
      </c>
      <c r="L117" s="5">
        <v>11513.6</v>
      </c>
      <c r="M117" s="5">
        <v>2148.67</v>
      </c>
      <c r="N117" s="1" t="s">
        <v>59</v>
      </c>
      <c r="O117" s="1" t="s">
        <v>22</v>
      </c>
      <c r="P117" s="1" t="str">
        <f t="shared" si="1"/>
        <v>High Value</v>
      </c>
    </row>
    <row r="118" spans="1:16" x14ac:dyDescent="0.35">
      <c r="A118" s="3" t="s">
        <v>370</v>
      </c>
      <c r="B118" s="4">
        <v>45917</v>
      </c>
      <c r="C118" s="1" t="s">
        <v>371</v>
      </c>
      <c r="D118" s="1" t="s">
        <v>372</v>
      </c>
      <c r="E118" s="1" t="s">
        <v>49</v>
      </c>
      <c r="F118" s="1" t="s">
        <v>49</v>
      </c>
      <c r="G118" s="1" t="s">
        <v>50</v>
      </c>
      <c r="H118" s="1" t="s">
        <v>51</v>
      </c>
      <c r="I118" s="1" t="s">
        <v>52</v>
      </c>
      <c r="J118" s="1">
        <v>8</v>
      </c>
      <c r="K118" s="2">
        <v>7199</v>
      </c>
      <c r="L118" s="5">
        <v>57592</v>
      </c>
      <c r="M118" s="5">
        <v>11583.03</v>
      </c>
      <c r="N118" s="1" t="s">
        <v>59</v>
      </c>
      <c r="O118" s="1" t="s">
        <v>22</v>
      </c>
      <c r="P118" s="1" t="str">
        <f t="shared" si="1"/>
        <v>High Value</v>
      </c>
    </row>
    <row r="119" spans="1:16" x14ac:dyDescent="0.35">
      <c r="A119" s="3" t="s">
        <v>373</v>
      </c>
      <c r="B119" s="4">
        <v>45972</v>
      </c>
      <c r="C119" s="1" t="s">
        <v>32</v>
      </c>
      <c r="D119" s="1" t="s">
        <v>33</v>
      </c>
      <c r="E119" s="1" t="s">
        <v>41</v>
      </c>
      <c r="F119" s="1" t="s">
        <v>17</v>
      </c>
      <c r="G119" s="1" t="s">
        <v>262</v>
      </c>
      <c r="H119" s="1" t="s">
        <v>263</v>
      </c>
      <c r="I119" s="1" t="s">
        <v>97</v>
      </c>
      <c r="J119" s="1">
        <v>8</v>
      </c>
      <c r="K119" s="2">
        <v>156</v>
      </c>
      <c r="L119" s="5">
        <v>1060.8</v>
      </c>
      <c r="M119" s="5">
        <v>349.99</v>
      </c>
      <c r="N119" s="1" t="s">
        <v>89</v>
      </c>
      <c r="O119" s="1" t="s">
        <v>22</v>
      </c>
      <c r="P119" s="1" t="str">
        <f t="shared" si="1"/>
        <v>Low Value</v>
      </c>
    </row>
    <row r="120" spans="1:16" x14ac:dyDescent="0.35">
      <c r="A120" s="3" t="s">
        <v>374</v>
      </c>
      <c r="B120" s="4">
        <v>45991</v>
      </c>
      <c r="C120" s="1" t="s">
        <v>375</v>
      </c>
      <c r="D120" s="1" t="s">
        <v>376</v>
      </c>
      <c r="E120" s="1" t="s">
        <v>111</v>
      </c>
      <c r="F120" s="1" t="s">
        <v>112</v>
      </c>
      <c r="G120" s="1" t="s">
        <v>131</v>
      </c>
      <c r="H120" s="1" t="s">
        <v>132</v>
      </c>
      <c r="I120" s="1" t="s">
        <v>44</v>
      </c>
      <c r="J120" s="1">
        <v>8</v>
      </c>
      <c r="K120" s="2">
        <v>576</v>
      </c>
      <c r="L120" s="5">
        <v>4608</v>
      </c>
      <c r="M120" s="5">
        <v>1523.86</v>
      </c>
      <c r="N120" s="1" t="s">
        <v>113</v>
      </c>
      <c r="O120" s="1" t="s">
        <v>22</v>
      </c>
      <c r="P120" s="1" t="str">
        <f t="shared" si="1"/>
        <v>Low Value</v>
      </c>
    </row>
    <row r="121" spans="1:16" x14ac:dyDescent="0.35">
      <c r="A121" s="3" t="s">
        <v>377</v>
      </c>
      <c r="B121" s="4">
        <v>45701</v>
      </c>
      <c r="C121" s="1" t="s">
        <v>126</v>
      </c>
      <c r="D121" s="1" t="s">
        <v>127</v>
      </c>
      <c r="E121" s="1" t="s">
        <v>101</v>
      </c>
      <c r="F121" s="1" t="s">
        <v>86</v>
      </c>
      <c r="G121" s="1" t="s">
        <v>177</v>
      </c>
      <c r="H121" s="1" t="s">
        <v>178</v>
      </c>
      <c r="I121" s="1" t="s">
        <v>20</v>
      </c>
      <c r="J121" s="1">
        <v>4</v>
      </c>
      <c r="K121" s="2">
        <v>2749</v>
      </c>
      <c r="L121" s="5">
        <v>9896.4</v>
      </c>
      <c r="M121" s="5">
        <v>3345.15</v>
      </c>
      <c r="N121" s="1" t="s">
        <v>21</v>
      </c>
      <c r="O121" s="1" t="s">
        <v>22</v>
      </c>
      <c r="P121" s="1" t="str">
        <f t="shared" si="1"/>
        <v>Medium Value</v>
      </c>
    </row>
    <row r="122" spans="1:16" x14ac:dyDescent="0.35">
      <c r="A122" s="3" t="s">
        <v>378</v>
      </c>
      <c r="B122" s="4">
        <v>45844</v>
      </c>
      <c r="C122" s="1" t="s">
        <v>379</v>
      </c>
      <c r="D122" s="1" t="s">
        <v>380</v>
      </c>
      <c r="E122" s="1" t="s">
        <v>49</v>
      </c>
      <c r="F122" s="1" t="s">
        <v>49</v>
      </c>
      <c r="G122" s="1" t="s">
        <v>262</v>
      </c>
      <c r="H122" s="1" t="s">
        <v>263</v>
      </c>
      <c r="I122" s="1" t="s">
        <v>97</v>
      </c>
      <c r="J122" s="1">
        <v>7</v>
      </c>
      <c r="K122" s="2">
        <v>149</v>
      </c>
      <c r="L122" s="5">
        <v>834.4</v>
      </c>
      <c r="M122" s="5">
        <v>209.88</v>
      </c>
      <c r="N122" s="1" t="s">
        <v>59</v>
      </c>
      <c r="O122" s="1" t="s">
        <v>22</v>
      </c>
      <c r="P122" s="1" t="str">
        <f t="shared" si="1"/>
        <v>Low Value</v>
      </c>
    </row>
    <row r="123" spans="1:16" x14ac:dyDescent="0.35">
      <c r="A123" s="3" t="s">
        <v>381</v>
      </c>
      <c r="B123" s="4">
        <v>45943</v>
      </c>
      <c r="C123" s="1" t="s">
        <v>129</v>
      </c>
      <c r="D123" s="1" t="s">
        <v>130</v>
      </c>
      <c r="E123" s="1" t="s">
        <v>145</v>
      </c>
      <c r="F123" s="1" t="s">
        <v>0</v>
      </c>
      <c r="G123" s="1" t="s">
        <v>70</v>
      </c>
      <c r="H123" s="1" t="s">
        <v>71</v>
      </c>
      <c r="I123" s="1" t="s">
        <v>44</v>
      </c>
      <c r="J123" s="1">
        <v>5</v>
      </c>
      <c r="K123" s="2">
        <v>3629</v>
      </c>
      <c r="L123" s="5">
        <v>14516</v>
      </c>
      <c r="M123" s="5">
        <v>4821.78</v>
      </c>
      <c r="N123" s="1" t="s">
        <v>21</v>
      </c>
      <c r="O123" s="1" t="s">
        <v>90</v>
      </c>
      <c r="P123" s="1" t="str">
        <f t="shared" si="1"/>
        <v>High Value</v>
      </c>
    </row>
    <row r="124" spans="1:16" x14ac:dyDescent="0.35">
      <c r="A124" s="3" t="s">
        <v>382</v>
      </c>
      <c r="B124" s="4">
        <v>45699</v>
      </c>
      <c r="C124" s="1" t="s">
        <v>286</v>
      </c>
      <c r="D124" s="1" t="s">
        <v>287</v>
      </c>
      <c r="E124" s="1" t="s">
        <v>85</v>
      </c>
      <c r="F124" s="1" t="s">
        <v>86</v>
      </c>
      <c r="G124" s="1" t="s">
        <v>95</v>
      </c>
      <c r="H124" s="1" t="s">
        <v>96</v>
      </c>
      <c r="I124" s="1" t="s">
        <v>97</v>
      </c>
      <c r="J124" s="1">
        <v>5</v>
      </c>
      <c r="K124" s="2">
        <v>274</v>
      </c>
      <c r="L124" s="5">
        <v>1096</v>
      </c>
      <c r="M124" s="5">
        <v>291.17</v>
      </c>
      <c r="N124" s="1" t="s">
        <v>45</v>
      </c>
      <c r="O124" s="1" t="s">
        <v>22</v>
      </c>
      <c r="P124" s="1" t="str">
        <f t="shared" si="1"/>
        <v>Low Value</v>
      </c>
    </row>
    <row r="125" spans="1:16" x14ac:dyDescent="0.35">
      <c r="A125" s="3" t="s">
        <v>383</v>
      </c>
      <c r="B125" s="4">
        <v>45816</v>
      </c>
      <c r="C125" s="1" t="s">
        <v>384</v>
      </c>
      <c r="D125" s="1" t="s">
        <v>306</v>
      </c>
      <c r="E125" s="1" t="s">
        <v>145</v>
      </c>
      <c r="F125" s="1" t="s">
        <v>0</v>
      </c>
      <c r="G125" s="1" t="s">
        <v>42</v>
      </c>
      <c r="H125" s="1" t="s">
        <v>43</v>
      </c>
      <c r="I125" s="1" t="s">
        <v>44</v>
      </c>
      <c r="J125" s="1">
        <v>3</v>
      </c>
      <c r="K125" s="2">
        <v>989</v>
      </c>
      <c r="L125" s="5">
        <v>2373.6</v>
      </c>
      <c r="M125" s="5">
        <v>717.71</v>
      </c>
      <c r="N125" s="1" t="s">
        <v>21</v>
      </c>
      <c r="O125" s="1" t="s">
        <v>22</v>
      </c>
      <c r="P125" s="1" t="str">
        <f t="shared" si="1"/>
        <v>Low Value</v>
      </c>
    </row>
    <row r="126" spans="1:16" x14ac:dyDescent="0.35">
      <c r="A126" s="3" t="s">
        <v>385</v>
      </c>
      <c r="B126" s="4">
        <v>45874</v>
      </c>
      <c r="C126" s="1" t="s">
        <v>386</v>
      </c>
      <c r="D126" s="1" t="s">
        <v>277</v>
      </c>
      <c r="E126" s="1" t="s">
        <v>312</v>
      </c>
      <c r="F126" s="1" t="s">
        <v>112</v>
      </c>
      <c r="G126" s="1" t="s">
        <v>63</v>
      </c>
      <c r="H126" s="1" t="s">
        <v>64</v>
      </c>
      <c r="I126" s="1" t="s">
        <v>20</v>
      </c>
      <c r="J126" s="1">
        <v>6</v>
      </c>
      <c r="K126" s="2">
        <v>599</v>
      </c>
      <c r="L126" s="5">
        <v>3594</v>
      </c>
      <c r="M126" s="5">
        <v>1183.3499999999999</v>
      </c>
      <c r="N126" s="1" t="s">
        <v>59</v>
      </c>
      <c r="O126" s="1" t="s">
        <v>53</v>
      </c>
      <c r="P126" s="1" t="str">
        <f t="shared" si="1"/>
        <v>Low Value</v>
      </c>
    </row>
    <row r="127" spans="1:16" x14ac:dyDescent="0.35">
      <c r="A127" s="3" t="s">
        <v>387</v>
      </c>
      <c r="B127" s="4">
        <v>45756</v>
      </c>
      <c r="C127" s="1" t="s">
        <v>388</v>
      </c>
      <c r="D127" s="1" t="s">
        <v>119</v>
      </c>
      <c r="E127" s="1" t="s">
        <v>85</v>
      </c>
      <c r="F127" s="1" t="s">
        <v>86</v>
      </c>
      <c r="G127" s="1" t="s">
        <v>18</v>
      </c>
      <c r="H127" s="1" t="s">
        <v>19</v>
      </c>
      <c r="I127" s="1" t="s">
        <v>20</v>
      </c>
      <c r="J127" s="1">
        <v>2</v>
      </c>
      <c r="K127" s="2">
        <v>3999</v>
      </c>
      <c r="L127" s="5">
        <v>7998</v>
      </c>
      <c r="M127" s="5">
        <v>1853.07</v>
      </c>
      <c r="N127" s="1" t="s">
        <v>21</v>
      </c>
      <c r="O127" s="1" t="s">
        <v>136</v>
      </c>
      <c r="P127" s="1" t="str">
        <f t="shared" si="1"/>
        <v>Medium Value</v>
      </c>
    </row>
    <row r="128" spans="1:16" x14ac:dyDescent="0.35">
      <c r="A128" s="3" t="s">
        <v>389</v>
      </c>
      <c r="B128" s="4">
        <v>45677</v>
      </c>
      <c r="C128" s="1" t="s">
        <v>14</v>
      </c>
      <c r="D128" s="1" t="s">
        <v>15</v>
      </c>
      <c r="E128" s="1" t="s">
        <v>111</v>
      </c>
      <c r="F128" s="1" t="s">
        <v>112</v>
      </c>
      <c r="G128" s="1" t="s">
        <v>131</v>
      </c>
      <c r="H128" s="1" t="s">
        <v>132</v>
      </c>
      <c r="I128" s="1" t="s">
        <v>44</v>
      </c>
      <c r="J128" s="1">
        <v>3</v>
      </c>
      <c r="K128" s="2">
        <v>576</v>
      </c>
      <c r="L128" s="5">
        <v>1555.2</v>
      </c>
      <c r="M128" s="5">
        <v>239.4</v>
      </c>
      <c r="N128" s="1" t="s">
        <v>45</v>
      </c>
      <c r="O128" s="1" t="s">
        <v>136</v>
      </c>
      <c r="P128" s="1" t="str">
        <f t="shared" si="1"/>
        <v>Low Value</v>
      </c>
    </row>
    <row r="129" spans="1:16" x14ac:dyDescent="0.35">
      <c r="A129" s="3" t="s">
        <v>390</v>
      </c>
      <c r="B129" s="4">
        <v>45742</v>
      </c>
      <c r="C129" s="1" t="s">
        <v>156</v>
      </c>
      <c r="D129" s="1" t="s">
        <v>157</v>
      </c>
      <c r="E129" s="1" t="s">
        <v>26</v>
      </c>
      <c r="F129" s="1" t="s">
        <v>27</v>
      </c>
      <c r="G129" s="1" t="s">
        <v>87</v>
      </c>
      <c r="H129" s="1" t="s">
        <v>88</v>
      </c>
      <c r="I129" s="1" t="s">
        <v>52</v>
      </c>
      <c r="J129" s="1">
        <v>6</v>
      </c>
      <c r="K129" s="2">
        <v>7149</v>
      </c>
      <c r="L129" s="5">
        <v>34315.199999999997</v>
      </c>
      <c r="M129" s="5">
        <v>5911.02</v>
      </c>
      <c r="N129" s="1" t="s">
        <v>113</v>
      </c>
      <c r="O129" s="1" t="s">
        <v>22</v>
      </c>
      <c r="P129" s="1" t="str">
        <f t="shared" si="1"/>
        <v>High Value</v>
      </c>
    </row>
    <row r="130" spans="1:16" x14ac:dyDescent="0.35">
      <c r="A130" s="3" t="s">
        <v>391</v>
      </c>
      <c r="B130" s="4">
        <v>45887</v>
      </c>
      <c r="C130" s="1" t="s">
        <v>392</v>
      </c>
      <c r="D130" s="1" t="s">
        <v>393</v>
      </c>
      <c r="E130" s="1" t="s">
        <v>80</v>
      </c>
      <c r="F130" s="1" t="s">
        <v>81</v>
      </c>
      <c r="G130" s="1" t="s">
        <v>35</v>
      </c>
      <c r="H130" s="1" t="s">
        <v>36</v>
      </c>
      <c r="I130" s="1" t="s">
        <v>37</v>
      </c>
      <c r="J130" s="1">
        <v>5</v>
      </c>
      <c r="K130" s="2">
        <v>1299</v>
      </c>
      <c r="L130" s="5">
        <v>6495</v>
      </c>
      <c r="M130" s="5">
        <v>1305.01</v>
      </c>
      <c r="N130" s="1" t="s">
        <v>21</v>
      </c>
      <c r="O130" s="1" t="s">
        <v>53</v>
      </c>
      <c r="P130" s="1" t="str">
        <f t="shared" ref="P130:P193" si="2">IF(L130&gt;=10000,"High Value",IF(L130&gt;=5000,"Medium Value","Low Value"))</f>
        <v>Medium Value</v>
      </c>
    </row>
    <row r="131" spans="1:16" x14ac:dyDescent="0.35">
      <c r="A131" s="3" t="s">
        <v>394</v>
      </c>
      <c r="B131" s="4">
        <v>45802</v>
      </c>
      <c r="C131" s="1" t="s">
        <v>103</v>
      </c>
      <c r="D131" s="1" t="s">
        <v>104</v>
      </c>
      <c r="E131" s="1" t="s">
        <v>41</v>
      </c>
      <c r="F131" s="1" t="s">
        <v>17</v>
      </c>
      <c r="G131" s="1" t="s">
        <v>213</v>
      </c>
      <c r="H131" s="1" t="s">
        <v>214</v>
      </c>
      <c r="I131" s="1" t="s">
        <v>107</v>
      </c>
      <c r="J131" s="1">
        <v>7</v>
      </c>
      <c r="K131" s="2">
        <v>1899</v>
      </c>
      <c r="L131" s="5">
        <v>13293</v>
      </c>
      <c r="M131" s="5">
        <v>3938.41</v>
      </c>
      <c r="N131" s="1" t="s">
        <v>45</v>
      </c>
      <c r="O131" s="1" t="s">
        <v>90</v>
      </c>
      <c r="P131" s="1" t="str">
        <f t="shared" si="2"/>
        <v>High Value</v>
      </c>
    </row>
    <row r="132" spans="1:16" x14ac:dyDescent="0.35">
      <c r="A132" s="3" t="s">
        <v>395</v>
      </c>
      <c r="B132" s="4">
        <v>45986</v>
      </c>
      <c r="C132" s="1" t="s">
        <v>396</v>
      </c>
      <c r="D132" s="1" t="s">
        <v>366</v>
      </c>
      <c r="E132" s="1" t="s">
        <v>312</v>
      </c>
      <c r="F132" s="1" t="s">
        <v>112</v>
      </c>
      <c r="G132" s="1" t="s">
        <v>254</v>
      </c>
      <c r="H132" s="1" t="s">
        <v>255</v>
      </c>
      <c r="I132" s="1" t="s">
        <v>30</v>
      </c>
      <c r="J132" s="1">
        <v>2</v>
      </c>
      <c r="K132" s="2">
        <v>879</v>
      </c>
      <c r="L132" s="5">
        <v>1494.3</v>
      </c>
      <c r="M132" s="5">
        <v>459.13</v>
      </c>
      <c r="N132" s="1" t="s">
        <v>59</v>
      </c>
      <c r="O132" s="1" t="s">
        <v>22</v>
      </c>
      <c r="P132" s="1" t="str">
        <f t="shared" si="2"/>
        <v>Low Value</v>
      </c>
    </row>
    <row r="133" spans="1:16" x14ac:dyDescent="0.35">
      <c r="A133" s="3" t="s">
        <v>397</v>
      </c>
      <c r="B133" s="4">
        <v>45797</v>
      </c>
      <c r="C133" s="1" t="s">
        <v>334</v>
      </c>
      <c r="D133" s="1" t="s">
        <v>335</v>
      </c>
      <c r="E133" s="1" t="s">
        <v>41</v>
      </c>
      <c r="F133" s="1" t="s">
        <v>17</v>
      </c>
      <c r="G133" s="1" t="s">
        <v>18</v>
      </c>
      <c r="H133" s="1" t="s">
        <v>19</v>
      </c>
      <c r="I133" s="1" t="s">
        <v>20</v>
      </c>
      <c r="J133" s="1">
        <v>7</v>
      </c>
      <c r="K133" s="2">
        <v>3599</v>
      </c>
      <c r="L133" s="5">
        <v>25193</v>
      </c>
      <c r="M133" s="5">
        <v>7549.71</v>
      </c>
      <c r="N133" s="1" t="s">
        <v>59</v>
      </c>
      <c r="O133" s="1" t="s">
        <v>90</v>
      </c>
      <c r="P133" s="1" t="str">
        <f t="shared" si="2"/>
        <v>High Value</v>
      </c>
    </row>
    <row r="134" spans="1:16" x14ac:dyDescent="0.35">
      <c r="A134" s="3" t="s">
        <v>398</v>
      </c>
      <c r="B134" s="4">
        <v>45685</v>
      </c>
      <c r="C134" s="1" t="s">
        <v>399</v>
      </c>
      <c r="D134" s="1" t="s">
        <v>400</v>
      </c>
      <c r="E134" s="1" t="s">
        <v>41</v>
      </c>
      <c r="F134" s="1" t="s">
        <v>17</v>
      </c>
      <c r="G134" s="1" t="s">
        <v>95</v>
      </c>
      <c r="H134" s="1" t="s">
        <v>96</v>
      </c>
      <c r="I134" s="1" t="s">
        <v>97</v>
      </c>
      <c r="J134" s="1">
        <v>4</v>
      </c>
      <c r="K134" s="2">
        <v>249</v>
      </c>
      <c r="L134" s="5">
        <v>996</v>
      </c>
      <c r="M134" s="5">
        <v>201.67</v>
      </c>
      <c r="N134" s="1" t="s">
        <v>89</v>
      </c>
      <c r="O134" s="1" t="s">
        <v>22</v>
      </c>
      <c r="P134" s="1" t="str">
        <f t="shared" si="2"/>
        <v>Low Value</v>
      </c>
    </row>
    <row r="135" spans="1:16" x14ac:dyDescent="0.35">
      <c r="A135" s="3" t="s">
        <v>401</v>
      </c>
      <c r="B135" s="4">
        <v>45990</v>
      </c>
      <c r="C135" s="1" t="s">
        <v>402</v>
      </c>
      <c r="D135" s="1" t="s">
        <v>40</v>
      </c>
      <c r="E135" s="1" t="s">
        <v>85</v>
      </c>
      <c r="F135" s="1" t="s">
        <v>86</v>
      </c>
      <c r="G135" s="1" t="s">
        <v>18</v>
      </c>
      <c r="H135" s="1" t="s">
        <v>19</v>
      </c>
      <c r="I135" s="1" t="s">
        <v>20</v>
      </c>
      <c r="J135" s="1">
        <v>1</v>
      </c>
      <c r="K135" s="2">
        <v>3999</v>
      </c>
      <c r="L135" s="5">
        <v>3599.1</v>
      </c>
      <c r="M135" s="5">
        <v>983.04</v>
      </c>
      <c r="N135" s="1" t="s">
        <v>45</v>
      </c>
      <c r="O135" s="1" t="s">
        <v>22</v>
      </c>
      <c r="P135" s="1" t="str">
        <f t="shared" si="2"/>
        <v>Low Value</v>
      </c>
    </row>
    <row r="136" spans="1:16" x14ac:dyDescent="0.35">
      <c r="A136" s="3" t="s">
        <v>403</v>
      </c>
      <c r="B136" s="4">
        <v>45887</v>
      </c>
      <c r="C136" s="1" t="s">
        <v>404</v>
      </c>
      <c r="D136" s="1" t="s">
        <v>405</v>
      </c>
      <c r="E136" s="1" t="s">
        <v>166</v>
      </c>
      <c r="F136" s="1" t="s">
        <v>27</v>
      </c>
      <c r="G136" s="1" t="s">
        <v>182</v>
      </c>
      <c r="H136" s="1" t="s">
        <v>183</v>
      </c>
      <c r="I136" s="1" t="s">
        <v>20</v>
      </c>
      <c r="J136" s="1">
        <v>1</v>
      </c>
      <c r="K136" s="2">
        <v>1799</v>
      </c>
      <c r="L136" s="5">
        <v>1799</v>
      </c>
      <c r="M136" s="5">
        <v>546.34</v>
      </c>
      <c r="N136" s="1" t="s">
        <v>21</v>
      </c>
      <c r="O136" s="1" t="s">
        <v>53</v>
      </c>
      <c r="P136" s="1" t="str">
        <f t="shared" si="2"/>
        <v>Low Value</v>
      </c>
    </row>
    <row r="137" spans="1:16" x14ac:dyDescent="0.35">
      <c r="A137" s="3" t="s">
        <v>406</v>
      </c>
      <c r="B137" s="4">
        <v>45928</v>
      </c>
      <c r="C137" s="1" t="s">
        <v>407</v>
      </c>
      <c r="D137" s="1" t="s">
        <v>15</v>
      </c>
      <c r="E137" s="1" t="s">
        <v>94</v>
      </c>
      <c r="F137" s="1" t="s">
        <v>27</v>
      </c>
      <c r="G137" s="1" t="s">
        <v>70</v>
      </c>
      <c r="H137" s="1" t="s">
        <v>71</v>
      </c>
      <c r="I137" s="1" t="s">
        <v>44</v>
      </c>
      <c r="J137" s="1">
        <v>4</v>
      </c>
      <c r="K137" s="2">
        <v>3299</v>
      </c>
      <c r="L137" s="5">
        <v>13196</v>
      </c>
      <c r="M137" s="5">
        <v>1722.14</v>
      </c>
      <c r="N137" s="1" t="s">
        <v>113</v>
      </c>
      <c r="O137" s="1" t="s">
        <v>22</v>
      </c>
      <c r="P137" s="1" t="str">
        <f t="shared" si="2"/>
        <v>High Value</v>
      </c>
    </row>
    <row r="138" spans="1:16" x14ac:dyDescent="0.35">
      <c r="A138" s="3" t="s">
        <v>408</v>
      </c>
      <c r="B138" s="4">
        <v>45892</v>
      </c>
      <c r="C138" s="1" t="s">
        <v>226</v>
      </c>
      <c r="D138" s="1" t="s">
        <v>227</v>
      </c>
      <c r="E138" s="1" t="s">
        <v>94</v>
      </c>
      <c r="F138" s="1" t="s">
        <v>27</v>
      </c>
      <c r="G138" s="1" t="s">
        <v>105</v>
      </c>
      <c r="H138" s="1" t="s">
        <v>106</v>
      </c>
      <c r="I138" s="1" t="s">
        <v>107</v>
      </c>
      <c r="J138" s="1">
        <v>1</v>
      </c>
      <c r="K138" s="2">
        <v>1099</v>
      </c>
      <c r="L138" s="5">
        <v>934.15</v>
      </c>
      <c r="M138" s="5">
        <v>230.28</v>
      </c>
      <c r="N138" s="1" t="s">
        <v>45</v>
      </c>
      <c r="O138" s="1" t="s">
        <v>22</v>
      </c>
      <c r="P138" s="1" t="str">
        <f t="shared" si="2"/>
        <v>Low Value</v>
      </c>
    </row>
    <row r="139" spans="1:16" x14ac:dyDescent="0.35">
      <c r="A139" s="3" t="s">
        <v>409</v>
      </c>
      <c r="B139" s="4">
        <v>45972</v>
      </c>
      <c r="C139" s="1" t="s">
        <v>410</v>
      </c>
      <c r="D139" s="1" t="s">
        <v>192</v>
      </c>
      <c r="E139" s="1" t="s">
        <v>141</v>
      </c>
      <c r="F139" s="1" t="s">
        <v>69</v>
      </c>
      <c r="G139" s="1" t="s">
        <v>28</v>
      </c>
      <c r="H139" s="1" t="s">
        <v>29</v>
      </c>
      <c r="I139" s="1" t="s">
        <v>30</v>
      </c>
      <c r="J139" s="1">
        <v>7</v>
      </c>
      <c r="K139" s="2">
        <v>1599</v>
      </c>
      <c r="L139" s="5">
        <v>8954.4</v>
      </c>
      <c r="M139" s="5">
        <v>2390.89</v>
      </c>
      <c r="N139" s="1" t="s">
        <v>21</v>
      </c>
      <c r="O139" s="1" t="s">
        <v>53</v>
      </c>
      <c r="P139" s="1" t="str">
        <f t="shared" si="2"/>
        <v>Medium Value</v>
      </c>
    </row>
    <row r="140" spans="1:16" x14ac:dyDescent="0.35">
      <c r="A140" s="3" t="s">
        <v>411</v>
      </c>
      <c r="B140" s="4">
        <v>45927</v>
      </c>
      <c r="C140" s="1" t="s">
        <v>168</v>
      </c>
      <c r="D140" s="1" t="s">
        <v>62</v>
      </c>
      <c r="E140" s="1" t="s">
        <v>41</v>
      </c>
      <c r="F140" s="1" t="s">
        <v>17</v>
      </c>
      <c r="G140" s="1" t="s">
        <v>213</v>
      </c>
      <c r="H140" s="1" t="s">
        <v>214</v>
      </c>
      <c r="I140" s="1" t="s">
        <v>107</v>
      </c>
      <c r="J140" s="1">
        <v>1</v>
      </c>
      <c r="K140" s="2">
        <v>1899</v>
      </c>
      <c r="L140" s="5">
        <v>1709.1</v>
      </c>
      <c r="M140" s="5">
        <v>221.46</v>
      </c>
      <c r="N140" s="1" t="s">
        <v>113</v>
      </c>
      <c r="O140" s="1" t="s">
        <v>53</v>
      </c>
      <c r="P140" s="1" t="str">
        <f t="shared" si="2"/>
        <v>Low Value</v>
      </c>
    </row>
    <row r="141" spans="1:16" x14ac:dyDescent="0.35">
      <c r="A141" s="3" t="s">
        <v>412</v>
      </c>
      <c r="B141" s="4">
        <v>45666</v>
      </c>
      <c r="C141" s="1" t="s">
        <v>413</v>
      </c>
      <c r="D141" s="1" t="s">
        <v>414</v>
      </c>
      <c r="E141" s="1" t="s">
        <v>34</v>
      </c>
      <c r="F141" s="1" t="s">
        <v>27</v>
      </c>
      <c r="G141" s="1" t="s">
        <v>95</v>
      </c>
      <c r="H141" s="1" t="s">
        <v>96</v>
      </c>
      <c r="I141" s="1" t="s">
        <v>97</v>
      </c>
      <c r="J141" s="1">
        <v>4</v>
      </c>
      <c r="K141" s="2">
        <v>274</v>
      </c>
      <c r="L141" s="5">
        <v>876.8</v>
      </c>
      <c r="M141" s="5">
        <v>226.4</v>
      </c>
      <c r="N141" s="1" t="s">
        <v>21</v>
      </c>
      <c r="O141" s="1" t="s">
        <v>22</v>
      </c>
      <c r="P141" s="1" t="str">
        <f t="shared" si="2"/>
        <v>Low Value</v>
      </c>
    </row>
    <row r="142" spans="1:16" x14ac:dyDescent="0.35">
      <c r="A142" s="3" t="s">
        <v>415</v>
      </c>
      <c r="B142" s="4">
        <v>45726</v>
      </c>
      <c r="C142" s="1" t="s">
        <v>139</v>
      </c>
      <c r="D142" s="1" t="s">
        <v>140</v>
      </c>
      <c r="E142" s="1" t="s">
        <v>312</v>
      </c>
      <c r="F142" s="1" t="s">
        <v>112</v>
      </c>
      <c r="G142" s="1" t="s">
        <v>254</v>
      </c>
      <c r="H142" s="1" t="s">
        <v>255</v>
      </c>
      <c r="I142" s="1" t="s">
        <v>30</v>
      </c>
      <c r="J142" s="1">
        <v>6</v>
      </c>
      <c r="K142" s="2">
        <v>879</v>
      </c>
      <c r="L142" s="5">
        <v>5274</v>
      </c>
      <c r="M142" s="5">
        <v>1596.36</v>
      </c>
      <c r="N142" s="1" t="s">
        <v>113</v>
      </c>
      <c r="O142" s="1" t="s">
        <v>53</v>
      </c>
      <c r="P142" s="1" t="str">
        <f t="shared" si="2"/>
        <v>Medium Value</v>
      </c>
    </row>
    <row r="143" spans="1:16" x14ac:dyDescent="0.35">
      <c r="A143" s="3" t="s">
        <v>416</v>
      </c>
      <c r="B143" s="4">
        <v>45981</v>
      </c>
      <c r="C143" s="1" t="s">
        <v>346</v>
      </c>
      <c r="D143" s="1" t="s">
        <v>347</v>
      </c>
      <c r="E143" s="1" t="s">
        <v>85</v>
      </c>
      <c r="F143" s="1" t="s">
        <v>86</v>
      </c>
      <c r="G143" s="1" t="s">
        <v>182</v>
      </c>
      <c r="H143" s="1" t="s">
        <v>183</v>
      </c>
      <c r="I143" s="1" t="s">
        <v>20</v>
      </c>
      <c r="J143" s="1">
        <v>8</v>
      </c>
      <c r="K143" s="2">
        <v>1619</v>
      </c>
      <c r="L143" s="5">
        <v>12304.4</v>
      </c>
      <c r="M143" s="5">
        <v>2022.23</v>
      </c>
      <c r="N143" s="1" t="s">
        <v>45</v>
      </c>
      <c r="O143" s="1" t="s">
        <v>90</v>
      </c>
      <c r="P143" s="1" t="str">
        <f t="shared" si="2"/>
        <v>High Value</v>
      </c>
    </row>
    <row r="144" spans="1:16" x14ac:dyDescent="0.35">
      <c r="A144" s="3" t="s">
        <v>417</v>
      </c>
      <c r="B144" s="4">
        <v>45816</v>
      </c>
      <c r="C144" s="1" t="s">
        <v>253</v>
      </c>
      <c r="D144" s="1" t="s">
        <v>244</v>
      </c>
      <c r="E144" s="1" t="s">
        <v>145</v>
      </c>
      <c r="F144" s="1" t="s">
        <v>0</v>
      </c>
      <c r="G144" s="1" t="s">
        <v>254</v>
      </c>
      <c r="H144" s="1" t="s">
        <v>255</v>
      </c>
      <c r="I144" s="1" t="s">
        <v>30</v>
      </c>
      <c r="J144" s="1">
        <v>8</v>
      </c>
      <c r="K144" s="2">
        <v>799</v>
      </c>
      <c r="L144" s="5">
        <v>6392</v>
      </c>
      <c r="M144" s="5">
        <v>1826.35</v>
      </c>
      <c r="N144" s="1" t="s">
        <v>45</v>
      </c>
      <c r="O144" s="1" t="s">
        <v>22</v>
      </c>
      <c r="P144" s="1" t="str">
        <f t="shared" si="2"/>
        <v>Medium Value</v>
      </c>
    </row>
    <row r="145" spans="1:16" x14ac:dyDescent="0.35">
      <c r="A145" s="3" t="s">
        <v>418</v>
      </c>
      <c r="B145" s="4">
        <v>45993</v>
      </c>
      <c r="C145" s="1" t="s">
        <v>419</v>
      </c>
      <c r="D145" s="1" t="s">
        <v>420</v>
      </c>
      <c r="E145" s="1" t="s">
        <v>68</v>
      </c>
      <c r="F145" s="1" t="s">
        <v>69</v>
      </c>
      <c r="G145" s="1" t="s">
        <v>120</v>
      </c>
      <c r="H145" s="1" t="s">
        <v>121</v>
      </c>
      <c r="I145" s="1" t="s">
        <v>20</v>
      </c>
      <c r="J145" s="1">
        <v>6</v>
      </c>
      <c r="K145" s="2">
        <v>1499</v>
      </c>
      <c r="L145" s="5">
        <v>8094.6</v>
      </c>
      <c r="M145" s="5">
        <v>2295.04</v>
      </c>
      <c r="N145" s="1" t="s">
        <v>113</v>
      </c>
      <c r="O145" s="1" t="s">
        <v>22</v>
      </c>
      <c r="P145" s="1" t="str">
        <f t="shared" si="2"/>
        <v>Medium Value</v>
      </c>
    </row>
    <row r="146" spans="1:16" x14ac:dyDescent="0.35">
      <c r="A146" s="3" t="s">
        <v>421</v>
      </c>
      <c r="B146" s="4">
        <v>45912</v>
      </c>
      <c r="C146" s="1" t="s">
        <v>250</v>
      </c>
      <c r="D146" s="1" t="s">
        <v>251</v>
      </c>
      <c r="E146" s="1" t="s">
        <v>16</v>
      </c>
      <c r="F146" s="1" t="s">
        <v>17</v>
      </c>
      <c r="G146" s="1" t="s">
        <v>95</v>
      </c>
      <c r="H146" s="1" t="s">
        <v>96</v>
      </c>
      <c r="I146" s="1" t="s">
        <v>97</v>
      </c>
      <c r="J146" s="1">
        <v>5</v>
      </c>
      <c r="K146" s="2">
        <v>224</v>
      </c>
      <c r="L146" s="5">
        <v>896</v>
      </c>
      <c r="M146" s="5">
        <v>191.2</v>
      </c>
      <c r="N146" s="1" t="s">
        <v>113</v>
      </c>
      <c r="O146" s="1" t="s">
        <v>22</v>
      </c>
      <c r="P146" s="1" t="str">
        <f t="shared" si="2"/>
        <v>Low Value</v>
      </c>
    </row>
    <row r="147" spans="1:16" x14ac:dyDescent="0.35">
      <c r="A147" s="3" t="s">
        <v>422</v>
      </c>
      <c r="B147" s="4">
        <v>45937</v>
      </c>
      <c r="C147" s="1" t="s">
        <v>423</v>
      </c>
      <c r="D147" s="1" t="s">
        <v>424</v>
      </c>
      <c r="E147" s="1" t="s">
        <v>111</v>
      </c>
      <c r="F147" s="1" t="s">
        <v>112</v>
      </c>
      <c r="G147" s="1" t="s">
        <v>120</v>
      </c>
      <c r="H147" s="1" t="s">
        <v>121</v>
      </c>
      <c r="I147" s="1" t="s">
        <v>20</v>
      </c>
      <c r="J147" s="1">
        <v>2</v>
      </c>
      <c r="K147" s="2">
        <v>1499</v>
      </c>
      <c r="L147" s="5">
        <v>2398.4</v>
      </c>
      <c r="M147" s="5">
        <v>443.8</v>
      </c>
      <c r="N147" s="1" t="s">
        <v>113</v>
      </c>
      <c r="O147" s="1" t="s">
        <v>22</v>
      </c>
      <c r="P147" s="1" t="str">
        <f t="shared" si="2"/>
        <v>Low Value</v>
      </c>
    </row>
    <row r="148" spans="1:16" x14ac:dyDescent="0.35">
      <c r="A148" s="3" t="s">
        <v>425</v>
      </c>
      <c r="B148" s="4">
        <v>45743</v>
      </c>
      <c r="C148" s="1" t="s">
        <v>238</v>
      </c>
      <c r="D148" s="1" t="s">
        <v>239</v>
      </c>
      <c r="E148" s="1" t="s">
        <v>172</v>
      </c>
      <c r="F148" s="1" t="s">
        <v>173</v>
      </c>
      <c r="G148" s="1" t="s">
        <v>95</v>
      </c>
      <c r="H148" s="1" t="s">
        <v>96</v>
      </c>
      <c r="I148" s="1" t="s">
        <v>97</v>
      </c>
      <c r="J148" s="1">
        <v>8</v>
      </c>
      <c r="K148" s="2">
        <v>224</v>
      </c>
      <c r="L148" s="5">
        <v>1433.6</v>
      </c>
      <c r="M148" s="5">
        <v>446.43</v>
      </c>
      <c r="N148" s="1" t="s">
        <v>89</v>
      </c>
      <c r="O148" s="1" t="s">
        <v>22</v>
      </c>
      <c r="P148" s="1" t="str">
        <f t="shared" si="2"/>
        <v>Low Value</v>
      </c>
    </row>
    <row r="149" spans="1:16" x14ac:dyDescent="0.35">
      <c r="A149" s="3" t="s">
        <v>426</v>
      </c>
      <c r="B149" s="4">
        <v>45798</v>
      </c>
      <c r="C149" s="1" t="s">
        <v>315</v>
      </c>
      <c r="D149" s="1" t="s">
        <v>316</v>
      </c>
      <c r="E149" s="1" t="s">
        <v>26</v>
      </c>
      <c r="F149" s="1" t="s">
        <v>27</v>
      </c>
      <c r="G149" s="1" t="s">
        <v>182</v>
      </c>
      <c r="H149" s="1" t="s">
        <v>183</v>
      </c>
      <c r="I149" s="1" t="s">
        <v>20</v>
      </c>
      <c r="J149" s="1">
        <v>7</v>
      </c>
      <c r="K149" s="2">
        <v>1799</v>
      </c>
      <c r="L149" s="5">
        <v>10704.05</v>
      </c>
      <c r="M149" s="5">
        <v>3170.98</v>
      </c>
      <c r="N149" s="1" t="s">
        <v>45</v>
      </c>
      <c r="O149" s="1" t="s">
        <v>53</v>
      </c>
      <c r="P149" s="1" t="str">
        <f t="shared" si="2"/>
        <v>High Value</v>
      </c>
    </row>
    <row r="150" spans="1:16" x14ac:dyDescent="0.35">
      <c r="A150" s="3" t="s">
        <v>427</v>
      </c>
      <c r="B150" s="4">
        <v>45969</v>
      </c>
      <c r="C150" s="1" t="s">
        <v>129</v>
      </c>
      <c r="D150" s="1" t="s">
        <v>130</v>
      </c>
      <c r="E150" s="1" t="s">
        <v>172</v>
      </c>
      <c r="F150" s="1" t="s">
        <v>173</v>
      </c>
      <c r="G150" s="1" t="s">
        <v>177</v>
      </c>
      <c r="H150" s="1" t="s">
        <v>178</v>
      </c>
      <c r="I150" s="1" t="s">
        <v>20</v>
      </c>
      <c r="J150" s="1">
        <v>3</v>
      </c>
      <c r="K150" s="2">
        <v>2249</v>
      </c>
      <c r="L150" s="5">
        <v>6747</v>
      </c>
      <c r="M150" s="5">
        <v>1965.22</v>
      </c>
      <c r="N150" s="1" t="s">
        <v>59</v>
      </c>
      <c r="O150" s="1" t="s">
        <v>22</v>
      </c>
      <c r="P150" s="1" t="str">
        <f t="shared" si="2"/>
        <v>Medium Value</v>
      </c>
    </row>
    <row r="151" spans="1:16" x14ac:dyDescent="0.35">
      <c r="A151" s="3" t="s">
        <v>428</v>
      </c>
      <c r="B151" s="4">
        <v>45674</v>
      </c>
      <c r="C151" s="1" t="s">
        <v>429</v>
      </c>
      <c r="D151" s="1" t="s">
        <v>430</v>
      </c>
      <c r="E151" s="1" t="s">
        <v>85</v>
      </c>
      <c r="F151" s="1" t="s">
        <v>86</v>
      </c>
      <c r="G151" s="1" t="s">
        <v>50</v>
      </c>
      <c r="H151" s="1" t="s">
        <v>51</v>
      </c>
      <c r="I151" s="1" t="s">
        <v>52</v>
      </c>
      <c r="J151" s="1">
        <v>6</v>
      </c>
      <c r="K151" s="2">
        <v>7999</v>
      </c>
      <c r="L151" s="5">
        <v>43194.6</v>
      </c>
      <c r="M151" s="5">
        <v>12434.8</v>
      </c>
      <c r="N151" s="1" t="s">
        <v>21</v>
      </c>
      <c r="O151" s="1" t="s">
        <v>22</v>
      </c>
      <c r="P151" s="1" t="str">
        <f t="shared" si="2"/>
        <v>High Value</v>
      </c>
    </row>
    <row r="152" spans="1:16" x14ac:dyDescent="0.35">
      <c r="A152" s="3" t="s">
        <v>431</v>
      </c>
      <c r="B152" s="4">
        <v>45861</v>
      </c>
      <c r="C152" s="1" t="s">
        <v>357</v>
      </c>
      <c r="D152" s="1" t="s">
        <v>328</v>
      </c>
      <c r="E152" s="1" t="s">
        <v>68</v>
      </c>
      <c r="F152" s="1" t="s">
        <v>69</v>
      </c>
      <c r="G152" s="1" t="s">
        <v>35</v>
      </c>
      <c r="H152" s="1" t="s">
        <v>36</v>
      </c>
      <c r="I152" s="1" t="s">
        <v>37</v>
      </c>
      <c r="J152" s="1">
        <v>2</v>
      </c>
      <c r="K152" s="2">
        <v>1169</v>
      </c>
      <c r="L152" s="5">
        <v>1870.4</v>
      </c>
      <c r="M152" s="5">
        <v>301</v>
      </c>
      <c r="N152" s="1" t="s">
        <v>21</v>
      </c>
      <c r="O152" s="1" t="s">
        <v>22</v>
      </c>
      <c r="P152" s="1" t="str">
        <f t="shared" si="2"/>
        <v>Low Value</v>
      </c>
    </row>
    <row r="153" spans="1:16" x14ac:dyDescent="0.35">
      <c r="A153" s="3" t="s">
        <v>432</v>
      </c>
      <c r="B153" s="4">
        <v>45718</v>
      </c>
      <c r="C153" s="1" t="s">
        <v>324</v>
      </c>
      <c r="D153" s="1" t="s">
        <v>325</v>
      </c>
      <c r="E153" s="1" t="s">
        <v>68</v>
      </c>
      <c r="F153" s="1" t="s">
        <v>69</v>
      </c>
      <c r="G153" s="1" t="s">
        <v>50</v>
      </c>
      <c r="H153" s="1" t="s">
        <v>51</v>
      </c>
      <c r="I153" s="1" t="s">
        <v>52</v>
      </c>
      <c r="J153" s="1">
        <v>4</v>
      </c>
      <c r="K153" s="2">
        <v>8399</v>
      </c>
      <c r="L153" s="5">
        <v>31916.2</v>
      </c>
      <c r="M153" s="5">
        <v>8702.77</v>
      </c>
      <c r="N153" s="1" t="s">
        <v>113</v>
      </c>
      <c r="O153" s="1" t="s">
        <v>22</v>
      </c>
      <c r="P153" s="1" t="str">
        <f t="shared" si="2"/>
        <v>High Value</v>
      </c>
    </row>
    <row r="154" spans="1:16" x14ac:dyDescent="0.35">
      <c r="A154" s="3" t="s">
        <v>433</v>
      </c>
      <c r="B154" s="4">
        <v>45695</v>
      </c>
      <c r="C154" s="1" t="s">
        <v>334</v>
      </c>
      <c r="D154" s="1" t="s">
        <v>335</v>
      </c>
      <c r="E154" s="1" t="s">
        <v>101</v>
      </c>
      <c r="F154" s="1" t="s">
        <v>86</v>
      </c>
      <c r="G154" s="1" t="s">
        <v>50</v>
      </c>
      <c r="H154" s="1" t="s">
        <v>51</v>
      </c>
      <c r="I154" s="1" t="s">
        <v>52</v>
      </c>
      <c r="J154" s="1">
        <v>2</v>
      </c>
      <c r="K154" s="2">
        <v>8799</v>
      </c>
      <c r="L154" s="5">
        <v>16718.099999999999</v>
      </c>
      <c r="M154" s="5">
        <v>4462.47</v>
      </c>
      <c r="N154" s="1" t="s">
        <v>89</v>
      </c>
      <c r="O154" s="1" t="s">
        <v>22</v>
      </c>
      <c r="P154" s="1" t="str">
        <f t="shared" si="2"/>
        <v>High Value</v>
      </c>
    </row>
    <row r="155" spans="1:16" x14ac:dyDescent="0.35">
      <c r="A155" s="3" t="s">
        <v>434</v>
      </c>
      <c r="B155" s="4">
        <v>45811</v>
      </c>
      <c r="C155" s="1" t="s">
        <v>153</v>
      </c>
      <c r="D155" s="1" t="s">
        <v>154</v>
      </c>
      <c r="E155" s="1" t="s">
        <v>101</v>
      </c>
      <c r="F155" s="1" t="s">
        <v>86</v>
      </c>
      <c r="G155" s="1" t="s">
        <v>95</v>
      </c>
      <c r="H155" s="1" t="s">
        <v>96</v>
      </c>
      <c r="I155" s="1" t="s">
        <v>97</v>
      </c>
      <c r="J155" s="1">
        <v>4</v>
      </c>
      <c r="K155" s="2">
        <v>224</v>
      </c>
      <c r="L155" s="5">
        <v>896</v>
      </c>
      <c r="M155" s="5">
        <v>263.64999999999998</v>
      </c>
      <c r="N155" s="1" t="s">
        <v>45</v>
      </c>
      <c r="O155" s="1" t="s">
        <v>136</v>
      </c>
      <c r="P155" s="1" t="str">
        <f t="shared" si="2"/>
        <v>Low Value</v>
      </c>
    </row>
    <row r="156" spans="1:16" x14ac:dyDescent="0.35">
      <c r="A156" s="3" t="s">
        <v>435</v>
      </c>
      <c r="B156" s="4">
        <v>45842</v>
      </c>
      <c r="C156" s="1" t="s">
        <v>83</v>
      </c>
      <c r="D156" s="1" t="s">
        <v>84</v>
      </c>
      <c r="E156" s="1" t="s">
        <v>312</v>
      </c>
      <c r="F156" s="1" t="s">
        <v>112</v>
      </c>
      <c r="G156" s="1" t="s">
        <v>50</v>
      </c>
      <c r="H156" s="1" t="s">
        <v>51</v>
      </c>
      <c r="I156" s="1" t="s">
        <v>52</v>
      </c>
      <c r="J156" s="1">
        <v>3</v>
      </c>
      <c r="K156" s="2">
        <v>8399</v>
      </c>
      <c r="L156" s="5">
        <v>25197</v>
      </c>
      <c r="M156" s="5">
        <v>3388.1</v>
      </c>
      <c r="N156" s="1" t="s">
        <v>113</v>
      </c>
      <c r="O156" s="1" t="s">
        <v>53</v>
      </c>
      <c r="P156" s="1" t="str">
        <f t="shared" si="2"/>
        <v>High Value</v>
      </c>
    </row>
    <row r="157" spans="1:16" x14ac:dyDescent="0.35">
      <c r="A157" s="3" t="s">
        <v>436</v>
      </c>
      <c r="B157" s="4">
        <v>45903</v>
      </c>
      <c r="C157" s="1" t="s">
        <v>273</v>
      </c>
      <c r="D157" s="1" t="s">
        <v>274</v>
      </c>
      <c r="E157" s="1" t="s">
        <v>75</v>
      </c>
      <c r="F157" s="1" t="s">
        <v>76</v>
      </c>
      <c r="G157" s="1" t="s">
        <v>87</v>
      </c>
      <c r="H157" s="1" t="s">
        <v>88</v>
      </c>
      <c r="I157" s="1" t="s">
        <v>52</v>
      </c>
      <c r="J157" s="1">
        <v>2</v>
      </c>
      <c r="K157" s="2">
        <v>6499</v>
      </c>
      <c r="L157" s="5">
        <v>12348.1</v>
      </c>
      <c r="M157" s="5">
        <v>3226.74</v>
      </c>
      <c r="N157" s="1" t="s">
        <v>113</v>
      </c>
      <c r="O157" s="1" t="s">
        <v>22</v>
      </c>
      <c r="P157" s="1" t="str">
        <f t="shared" si="2"/>
        <v>High Value</v>
      </c>
    </row>
    <row r="158" spans="1:16" x14ac:dyDescent="0.35">
      <c r="A158" s="3" t="s">
        <v>437</v>
      </c>
      <c r="B158" s="4">
        <v>45834</v>
      </c>
      <c r="C158" s="1" t="s">
        <v>438</v>
      </c>
      <c r="D158" s="1" t="s">
        <v>208</v>
      </c>
      <c r="E158" s="1" t="s">
        <v>80</v>
      </c>
      <c r="F158" s="1" t="s">
        <v>81</v>
      </c>
      <c r="G158" s="1" t="s">
        <v>28</v>
      </c>
      <c r="H158" s="1" t="s">
        <v>29</v>
      </c>
      <c r="I158" s="1" t="s">
        <v>30</v>
      </c>
      <c r="J158" s="1">
        <v>3</v>
      </c>
      <c r="K158" s="2">
        <v>1599</v>
      </c>
      <c r="L158" s="5">
        <v>4317.3</v>
      </c>
      <c r="M158" s="5">
        <v>995.7</v>
      </c>
      <c r="N158" s="1" t="s">
        <v>89</v>
      </c>
      <c r="O158" s="1" t="s">
        <v>136</v>
      </c>
      <c r="P158" s="1" t="str">
        <f t="shared" si="2"/>
        <v>Low Value</v>
      </c>
    </row>
    <row r="159" spans="1:16" x14ac:dyDescent="0.35">
      <c r="A159" s="3" t="s">
        <v>439</v>
      </c>
      <c r="B159" s="4">
        <v>45736</v>
      </c>
      <c r="C159" s="1" t="s">
        <v>61</v>
      </c>
      <c r="D159" s="1" t="s">
        <v>62</v>
      </c>
      <c r="E159" s="1" t="s">
        <v>101</v>
      </c>
      <c r="F159" s="1" t="s">
        <v>86</v>
      </c>
      <c r="G159" s="1" t="s">
        <v>198</v>
      </c>
      <c r="H159" s="1" t="s">
        <v>199</v>
      </c>
      <c r="I159" s="1" t="s">
        <v>37</v>
      </c>
      <c r="J159" s="1">
        <v>6</v>
      </c>
      <c r="K159" s="2">
        <v>769</v>
      </c>
      <c r="L159" s="5">
        <v>4614</v>
      </c>
      <c r="M159" s="5">
        <v>904.92</v>
      </c>
      <c r="N159" s="1" t="s">
        <v>21</v>
      </c>
      <c r="O159" s="1" t="s">
        <v>90</v>
      </c>
      <c r="P159" s="1" t="str">
        <f t="shared" si="2"/>
        <v>Low Value</v>
      </c>
    </row>
    <row r="160" spans="1:16" x14ac:dyDescent="0.35">
      <c r="A160" s="3" t="s">
        <v>440</v>
      </c>
      <c r="B160" s="4">
        <v>45786</v>
      </c>
      <c r="C160" s="1" t="s">
        <v>441</v>
      </c>
      <c r="D160" s="1" t="s">
        <v>442</v>
      </c>
      <c r="E160" s="1" t="s">
        <v>80</v>
      </c>
      <c r="F160" s="1" t="s">
        <v>81</v>
      </c>
      <c r="G160" s="1" t="s">
        <v>57</v>
      </c>
      <c r="H160" s="1" t="s">
        <v>58</v>
      </c>
      <c r="I160" s="1" t="s">
        <v>44</v>
      </c>
      <c r="J160" s="1">
        <v>3</v>
      </c>
      <c r="K160" s="2">
        <v>439</v>
      </c>
      <c r="L160" s="5">
        <v>1251.1500000000001</v>
      </c>
      <c r="M160" s="5">
        <v>319.26</v>
      </c>
      <c r="N160" s="1" t="s">
        <v>89</v>
      </c>
      <c r="O160" s="1" t="s">
        <v>22</v>
      </c>
      <c r="P160" s="1" t="str">
        <f t="shared" si="2"/>
        <v>Low Value</v>
      </c>
    </row>
    <row r="161" spans="1:16" x14ac:dyDescent="0.35">
      <c r="A161" s="3" t="s">
        <v>443</v>
      </c>
      <c r="B161" s="4">
        <v>45961</v>
      </c>
      <c r="C161" s="1" t="s">
        <v>444</v>
      </c>
      <c r="D161" s="1" t="s">
        <v>445</v>
      </c>
      <c r="E161" s="1" t="s">
        <v>85</v>
      </c>
      <c r="F161" s="1" t="s">
        <v>86</v>
      </c>
      <c r="G161" s="1" t="s">
        <v>198</v>
      </c>
      <c r="H161" s="1" t="s">
        <v>199</v>
      </c>
      <c r="I161" s="1" t="s">
        <v>37</v>
      </c>
      <c r="J161" s="1">
        <v>6</v>
      </c>
      <c r="K161" s="2">
        <v>734</v>
      </c>
      <c r="L161" s="5">
        <v>4404</v>
      </c>
      <c r="M161" s="5">
        <v>1328.03</v>
      </c>
      <c r="N161" s="1" t="s">
        <v>89</v>
      </c>
      <c r="O161" s="1" t="s">
        <v>22</v>
      </c>
      <c r="P161" s="1" t="str">
        <f t="shared" si="2"/>
        <v>Low Value</v>
      </c>
    </row>
    <row r="162" spans="1:16" x14ac:dyDescent="0.35">
      <c r="A162" s="3" t="s">
        <v>446</v>
      </c>
      <c r="B162" s="4">
        <v>45953</v>
      </c>
      <c r="C162" s="1" t="s">
        <v>324</v>
      </c>
      <c r="D162" s="1" t="s">
        <v>325</v>
      </c>
      <c r="E162" s="1" t="s">
        <v>236</v>
      </c>
      <c r="F162" s="1" t="s">
        <v>86</v>
      </c>
      <c r="G162" s="1" t="s">
        <v>28</v>
      </c>
      <c r="H162" s="1" t="s">
        <v>29</v>
      </c>
      <c r="I162" s="1" t="s">
        <v>30</v>
      </c>
      <c r="J162" s="1">
        <v>7</v>
      </c>
      <c r="K162" s="2">
        <v>1679</v>
      </c>
      <c r="L162" s="5">
        <v>9402.4</v>
      </c>
      <c r="M162" s="5">
        <v>1190.94</v>
      </c>
      <c r="N162" s="1" t="s">
        <v>21</v>
      </c>
      <c r="O162" s="1" t="s">
        <v>22</v>
      </c>
      <c r="P162" s="1" t="str">
        <f t="shared" si="2"/>
        <v>Medium Value</v>
      </c>
    </row>
    <row r="163" spans="1:16" x14ac:dyDescent="0.35">
      <c r="A163" s="3" t="s">
        <v>447</v>
      </c>
      <c r="B163" s="4">
        <v>45905</v>
      </c>
      <c r="C163" s="1" t="s">
        <v>283</v>
      </c>
      <c r="D163" s="1" t="s">
        <v>284</v>
      </c>
      <c r="E163" s="1" t="s">
        <v>145</v>
      </c>
      <c r="F163" s="1" t="s">
        <v>0</v>
      </c>
      <c r="G163" s="1" t="s">
        <v>70</v>
      </c>
      <c r="H163" s="1" t="s">
        <v>71</v>
      </c>
      <c r="I163" s="1" t="s">
        <v>44</v>
      </c>
      <c r="J163" s="1">
        <v>8</v>
      </c>
      <c r="K163" s="2">
        <v>2969</v>
      </c>
      <c r="L163" s="5">
        <v>19001.599999999999</v>
      </c>
      <c r="M163" s="5">
        <v>2530.65</v>
      </c>
      <c r="N163" s="1" t="s">
        <v>113</v>
      </c>
      <c r="O163" s="1" t="s">
        <v>22</v>
      </c>
      <c r="P163" s="1" t="str">
        <f t="shared" si="2"/>
        <v>High Value</v>
      </c>
    </row>
    <row r="164" spans="1:16" x14ac:dyDescent="0.35">
      <c r="A164" s="3" t="s">
        <v>448</v>
      </c>
      <c r="B164" s="4">
        <v>45762</v>
      </c>
      <c r="C164" s="1" t="s">
        <v>265</v>
      </c>
      <c r="D164" s="1" t="s">
        <v>266</v>
      </c>
      <c r="E164" s="1" t="s">
        <v>85</v>
      </c>
      <c r="F164" s="1" t="s">
        <v>86</v>
      </c>
      <c r="G164" s="1" t="s">
        <v>42</v>
      </c>
      <c r="H164" s="1" t="s">
        <v>43</v>
      </c>
      <c r="I164" s="1" t="s">
        <v>44</v>
      </c>
      <c r="J164" s="1">
        <v>6</v>
      </c>
      <c r="K164" s="2">
        <v>989</v>
      </c>
      <c r="L164" s="5">
        <v>5637.3</v>
      </c>
      <c r="M164" s="5">
        <v>1886.14</v>
      </c>
      <c r="N164" s="1" t="s">
        <v>45</v>
      </c>
      <c r="O164" s="1" t="s">
        <v>136</v>
      </c>
      <c r="P164" s="1" t="str">
        <f t="shared" si="2"/>
        <v>Medium Value</v>
      </c>
    </row>
    <row r="165" spans="1:16" x14ac:dyDescent="0.35">
      <c r="A165" s="3" t="s">
        <v>449</v>
      </c>
      <c r="B165" s="4">
        <v>45945</v>
      </c>
      <c r="C165" s="1" t="s">
        <v>191</v>
      </c>
      <c r="D165" s="1" t="s">
        <v>192</v>
      </c>
      <c r="E165" s="1" t="s">
        <v>111</v>
      </c>
      <c r="F165" s="1" t="s">
        <v>112</v>
      </c>
      <c r="G165" s="1" t="s">
        <v>35</v>
      </c>
      <c r="H165" s="1" t="s">
        <v>36</v>
      </c>
      <c r="I165" s="1" t="s">
        <v>37</v>
      </c>
      <c r="J165" s="1">
        <v>8</v>
      </c>
      <c r="K165" s="2">
        <v>1169</v>
      </c>
      <c r="L165" s="5">
        <v>8884.4</v>
      </c>
      <c r="M165" s="5">
        <v>1944.89</v>
      </c>
      <c r="N165" s="1" t="s">
        <v>45</v>
      </c>
      <c r="O165" s="1" t="s">
        <v>22</v>
      </c>
      <c r="P165" s="1" t="str">
        <f t="shared" si="2"/>
        <v>Medium Value</v>
      </c>
    </row>
    <row r="166" spans="1:16" x14ac:dyDescent="0.35">
      <c r="A166" s="3" t="s">
        <v>450</v>
      </c>
      <c r="B166" s="4">
        <v>45854</v>
      </c>
      <c r="C166" s="1" t="s">
        <v>404</v>
      </c>
      <c r="D166" s="1" t="s">
        <v>405</v>
      </c>
      <c r="E166" s="1" t="s">
        <v>75</v>
      </c>
      <c r="F166" s="1" t="s">
        <v>76</v>
      </c>
      <c r="G166" s="1" t="s">
        <v>35</v>
      </c>
      <c r="H166" s="1" t="s">
        <v>36</v>
      </c>
      <c r="I166" s="1" t="s">
        <v>37</v>
      </c>
      <c r="J166" s="1">
        <v>3</v>
      </c>
      <c r="K166" s="2">
        <v>1299</v>
      </c>
      <c r="L166" s="5">
        <v>3312.45</v>
      </c>
      <c r="M166" s="5">
        <v>923.01</v>
      </c>
      <c r="N166" s="1" t="s">
        <v>45</v>
      </c>
      <c r="O166" s="1" t="s">
        <v>136</v>
      </c>
      <c r="P166" s="1" t="str">
        <f t="shared" si="2"/>
        <v>Low Value</v>
      </c>
    </row>
    <row r="167" spans="1:16" x14ac:dyDescent="0.35">
      <c r="A167" s="3" t="s">
        <v>451</v>
      </c>
      <c r="B167" s="4">
        <v>45921</v>
      </c>
      <c r="C167" s="1" t="s">
        <v>452</v>
      </c>
      <c r="D167" s="1" t="s">
        <v>453</v>
      </c>
      <c r="E167" s="1" t="s">
        <v>16</v>
      </c>
      <c r="F167" s="1" t="s">
        <v>17</v>
      </c>
      <c r="G167" s="1" t="s">
        <v>70</v>
      </c>
      <c r="H167" s="1" t="s">
        <v>71</v>
      </c>
      <c r="I167" s="1" t="s">
        <v>44</v>
      </c>
      <c r="J167" s="1">
        <v>8</v>
      </c>
      <c r="K167" s="2">
        <v>2969</v>
      </c>
      <c r="L167" s="5">
        <v>23752</v>
      </c>
      <c r="M167" s="5">
        <v>7789.5</v>
      </c>
      <c r="N167" s="1" t="s">
        <v>21</v>
      </c>
      <c r="O167" s="1" t="s">
        <v>22</v>
      </c>
      <c r="P167" s="1" t="str">
        <f t="shared" si="2"/>
        <v>High Value</v>
      </c>
    </row>
    <row r="168" spans="1:16" x14ac:dyDescent="0.35">
      <c r="A168" s="3" t="s">
        <v>454</v>
      </c>
      <c r="B168" s="4">
        <v>45768</v>
      </c>
      <c r="C168" s="1" t="s">
        <v>286</v>
      </c>
      <c r="D168" s="1" t="s">
        <v>287</v>
      </c>
      <c r="E168" s="1" t="s">
        <v>312</v>
      </c>
      <c r="F168" s="1" t="s">
        <v>112</v>
      </c>
      <c r="G168" s="1" t="s">
        <v>177</v>
      </c>
      <c r="H168" s="1" t="s">
        <v>178</v>
      </c>
      <c r="I168" s="1" t="s">
        <v>20</v>
      </c>
      <c r="J168" s="1">
        <v>1</v>
      </c>
      <c r="K168" s="2">
        <v>2499</v>
      </c>
      <c r="L168" s="5">
        <v>2249.1</v>
      </c>
      <c r="M168" s="5">
        <v>565.54999999999995</v>
      </c>
      <c r="N168" s="1" t="s">
        <v>113</v>
      </c>
      <c r="O168" s="1" t="s">
        <v>22</v>
      </c>
      <c r="P168" s="1" t="str">
        <f t="shared" si="2"/>
        <v>Low Value</v>
      </c>
    </row>
    <row r="169" spans="1:16" x14ac:dyDescent="0.35">
      <c r="A169" s="3" t="s">
        <v>455</v>
      </c>
      <c r="B169" s="4">
        <v>45713</v>
      </c>
      <c r="C169" s="1" t="s">
        <v>456</v>
      </c>
      <c r="D169" s="1" t="s">
        <v>457</v>
      </c>
      <c r="E169" s="1" t="s">
        <v>85</v>
      </c>
      <c r="F169" s="1" t="s">
        <v>86</v>
      </c>
      <c r="G169" s="1" t="s">
        <v>57</v>
      </c>
      <c r="H169" s="1" t="s">
        <v>58</v>
      </c>
      <c r="I169" s="1" t="s">
        <v>44</v>
      </c>
      <c r="J169" s="1">
        <v>6</v>
      </c>
      <c r="K169" s="2">
        <v>399</v>
      </c>
      <c r="L169" s="5">
        <v>2274.3000000000002</v>
      </c>
      <c r="M169" s="5">
        <v>295.55</v>
      </c>
      <c r="N169" s="1" t="s">
        <v>89</v>
      </c>
      <c r="O169" s="1" t="s">
        <v>22</v>
      </c>
      <c r="P169" s="1" t="str">
        <f t="shared" si="2"/>
        <v>Low Value</v>
      </c>
    </row>
    <row r="170" spans="1:16" x14ac:dyDescent="0.35">
      <c r="A170" s="3" t="s">
        <v>458</v>
      </c>
      <c r="B170" s="4">
        <v>45843</v>
      </c>
      <c r="C170" s="1" t="s">
        <v>83</v>
      </c>
      <c r="D170" s="1" t="s">
        <v>84</v>
      </c>
      <c r="E170" s="1" t="s">
        <v>49</v>
      </c>
      <c r="F170" s="1" t="s">
        <v>49</v>
      </c>
      <c r="G170" s="1" t="s">
        <v>182</v>
      </c>
      <c r="H170" s="1" t="s">
        <v>183</v>
      </c>
      <c r="I170" s="1" t="s">
        <v>20</v>
      </c>
      <c r="J170" s="1">
        <v>7</v>
      </c>
      <c r="K170" s="2">
        <v>1889</v>
      </c>
      <c r="L170" s="5">
        <v>11900.7</v>
      </c>
      <c r="M170" s="5">
        <v>3429.41</v>
      </c>
      <c r="N170" s="1" t="s">
        <v>59</v>
      </c>
      <c r="O170" s="1" t="s">
        <v>136</v>
      </c>
      <c r="P170" s="1" t="str">
        <f t="shared" si="2"/>
        <v>High Value</v>
      </c>
    </row>
    <row r="171" spans="1:16" x14ac:dyDescent="0.35">
      <c r="A171" s="3" t="s">
        <v>459</v>
      </c>
      <c r="B171" s="4">
        <v>46006</v>
      </c>
      <c r="C171" s="1" t="s">
        <v>460</v>
      </c>
      <c r="D171" s="1" t="s">
        <v>461</v>
      </c>
      <c r="E171" s="1" t="s">
        <v>94</v>
      </c>
      <c r="F171" s="1" t="s">
        <v>27</v>
      </c>
      <c r="G171" s="1" t="s">
        <v>18</v>
      </c>
      <c r="H171" s="1" t="s">
        <v>19</v>
      </c>
      <c r="I171" s="1" t="s">
        <v>20</v>
      </c>
      <c r="J171" s="1">
        <v>2</v>
      </c>
      <c r="K171" s="2">
        <v>3999</v>
      </c>
      <c r="L171" s="5">
        <v>7598.1</v>
      </c>
      <c r="M171" s="5">
        <v>2240.5100000000002</v>
      </c>
      <c r="N171" s="1" t="s">
        <v>59</v>
      </c>
      <c r="O171" s="1" t="s">
        <v>22</v>
      </c>
      <c r="P171" s="1" t="str">
        <f t="shared" si="2"/>
        <v>Medium Value</v>
      </c>
    </row>
    <row r="172" spans="1:16" x14ac:dyDescent="0.35">
      <c r="A172" s="3" t="s">
        <v>462</v>
      </c>
      <c r="B172" s="4">
        <v>45731</v>
      </c>
      <c r="C172" s="1" t="s">
        <v>441</v>
      </c>
      <c r="D172" s="1" t="s">
        <v>442</v>
      </c>
      <c r="E172" s="1" t="s">
        <v>41</v>
      </c>
      <c r="F172" s="1" t="s">
        <v>17</v>
      </c>
      <c r="G172" s="1" t="s">
        <v>262</v>
      </c>
      <c r="H172" s="1" t="s">
        <v>263</v>
      </c>
      <c r="I172" s="1" t="s">
        <v>97</v>
      </c>
      <c r="J172" s="1">
        <v>1</v>
      </c>
      <c r="K172" s="2">
        <v>134</v>
      </c>
      <c r="L172" s="5">
        <v>134</v>
      </c>
      <c r="M172" s="5">
        <v>20.12</v>
      </c>
      <c r="N172" s="1" t="s">
        <v>59</v>
      </c>
      <c r="O172" s="1" t="s">
        <v>136</v>
      </c>
      <c r="P172" s="1" t="str">
        <f t="shared" si="2"/>
        <v>Low Value</v>
      </c>
    </row>
    <row r="173" spans="1:16" x14ac:dyDescent="0.35">
      <c r="A173" s="3" t="s">
        <v>463</v>
      </c>
      <c r="B173" s="4">
        <v>45891</v>
      </c>
      <c r="C173" s="1" t="s">
        <v>268</v>
      </c>
      <c r="D173" s="1" t="s">
        <v>269</v>
      </c>
      <c r="E173" s="1" t="s">
        <v>41</v>
      </c>
      <c r="F173" s="1" t="s">
        <v>17</v>
      </c>
      <c r="G173" s="1" t="s">
        <v>18</v>
      </c>
      <c r="H173" s="1" t="s">
        <v>19</v>
      </c>
      <c r="I173" s="1" t="s">
        <v>20</v>
      </c>
      <c r="J173" s="1">
        <v>6</v>
      </c>
      <c r="K173" s="2">
        <v>4199</v>
      </c>
      <c r="L173" s="5">
        <v>23934.3</v>
      </c>
      <c r="M173" s="5">
        <v>3727.78</v>
      </c>
      <c r="N173" s="1" t="s">
        <v>21</v>
      </c>
      <c r="O173" s="1" t="s">
        <v>22</v>
      </c>
      <c r="P173" s="1" t="str">
        <f t="shared" si="2"/>
        <v>High Value</v>
      </c>
    </row>
    <row r="174" spans="1:16" x14ac:dyDescent="0.35">
      <c r="A174" s="3" t="s">
        <v>464</v>
      </c>
      <c r="B174" s="4">
        <v>45961</v>
      </c>
      <c r="C174" s="1" t="s">
        <v>204</v>
      </c>
      <c r="D174" s="1" t="s">
        <v>205</v>
      </c>
      <c r="E174" s="1" t="s">
        <v>41</v>
      </c>
      <c r="F174" s="1" t="s">
        <v>17</v>
      </c>
      <c r="G174" s="1" t="s">
        <v>213</v>
      </c>
      <c r="H174" s="1" t="s">
        <v>214</v>
      </c>
      <c r="I174" s="1" t="s">
        <v>107</v>
      </c>
      <c r="J174" s="1">
        <v>8</v>
      </c>
      <c r="K174" s="2">
        <v>2089</v>
      </c>
      <c r="L174" s="5">
        <v>14205.2</v>
      </c>
      <c r="M174" s="5">
        <v>2641.51</v>
      </c>
      <c r="N174" s="1" t="s">
        <v>89</v>
      </c>
      <c r="O174" s="1" t="s">
        <v>22</v>
      </c>
      <c r="P174" s="1" t="str">
        <f t="shared" si="2"/>
        <v>High Value</v>
      </c>
    </row>
    <row r="175" spans="1:16" x14ac:dyDescent="0.35">
      <c r="A175" s="3" t="s">
        <v>465</v>
      </c>
      <c r="B175" s="4">
        <v>45714</v>
      </c>
      <c r="C175" s="1" t="s">
        <v>466</v>
      </c>
      <c r="D175" s="1" t="s">
        <v>467</v>
      </c>
      <c r="E175" s="1" t="s">
        <v>49</v>
      </c>
      <c r="F175" s="1" t="s">
        <v>49</v>
      </c>
      <c r="G175" s="1" t="s">
        <v>63</v>
      </c>
      <c r="H175" s="1" t="s">
        <v>64</v>
      </c>
      <c r="I175" s="1" t="s">
        <v>20</v>
      </c>
      <c r="J175" s="1">
        <v>8</v>
      </c>
      <c r="K175" s="2">
        <v>599</v>
      </c>
      <c r="L175" s="5">
        <v>3833.6</v>
      </c>
      <c r="M175" s="5">
        <v>1120.33</v>
      </c>
      <c r="N175" s="1" t="s">
        <v>21</v>
      </c>
      <c r="O175" s="1" t="s">
        <v>22</v>
      </c>
      <c r="P175" s="1" t="str">
        <f t="shared" si="2"/>
        <v>Low Value</v>
      </c>
    </row>
    <row r="176" spans="1:16" x14ac:dyDescent="0.35">
      <c r="A176" s="3" t="s">
        <v>468</v>
      </c>
      <c r="B176" s="4">
        <v>45684</v>
      </c>
      <c r="C176" s="1" t="s">
        <v>286</v>
      </c>
      <c r="D176" s="1" t="s">
        <v>287</v>
      </c>
      <c r="E176" s="1" t="s">
        <v>16</v>
      </c>
      <c r="F176" s="1" t="s">
        <v>17</v>
      </c>
      <c r="G176" s="1" t="s">
        <v>198</v>
      </c>
      <c r="H176" s="1" t="s">
        <v>199</v>
      </c>
      <c r="I176" s="1" t="s">
        <v>37</v>
      </c>
      <c r="J176" s="1">
        <v>7</v>
      </c>
      <c r="K176" s="2">
        <v>699</v>
      </c>
      <c r="L176" s="5">
        <v>3914.4</v>
      </c>
      <c r="M176" s="5">
        <v>678.3</v>
      </c>
      <c r="N176" s="1" t="s">
        <v>21</v>
      </c>
      <c r="O176" s="1" t="s">
        <v>53</v>
      </c>
      <c r="P176" s="1" t="str">
        <f t="shared" si="2"/>
        <v>Low Value</v>
      </c>
    </row>
    <row r="177" spans="1:16" x14ac:dyDescent="0.35">
      <c r="A177" s="3" t="s">
        <v>469</v>
      </c>
      <c r="B177" s="4">
        <v>45755</v>
      </c>
      <c r="C177" s="1" t="s">
        <v>470</v>
      </c>
      <c r="D177" s="1" t="s">
        <v>266</v>
      </c>
      <c r="E177" s="1" t="s">
        <v>172</v>
      </c>
      <c r="F177" s="1" t="s">
        <v>173</v>
      </c>
      <c r="G177" s="1" t="s">
        <v>42</v>
      </c>
      <c r="H177" s="1" t="s">
        <v>43</v>
      </c>
      <c r="I177" s="1" t="s">
        <v>44</v>
      </c>
      <c r="J177" s="1">
        <v>7</v>
      </c>
      <c r="K177" s="2">
        <v>899</v>
      </c>
      <c r="L177" s="5">
        <v>5663.7</v>
      </c>
      <c r="M177" s="5">
        <v>1540.02</v>
      </c>
      <c r="N177" s="1" t="s">
        <v>113</v>
      </c>
      <c r="O177" s="1" t="s">
        <v>22</v>
      </c>
      <c r="P177" s="1" t="str">
        <f t="shared" si="2"/>
        <v>Medium Value</v>
      </c>
    </row>
    <row r="178" spans="1:16" x14ac:dyDescent="0.35">
      <c r="A178" s="3" t="s">
        <v>471</v>
      </c>
      <c r="B178" s="4">
        <v>45899</v>
      </c>
      <c r="C178" s="1" t="s">
        <v>330</v>
      </c>
      <c r="D178" s="1" t="s">
        <v>287</v>
      </c>
      <c r="E178" s="1" t="s">
        <v>85</v>
      </c>
      <c r="F178" s="1" t="s">
        <v>86</v>
      </c>
      <c r="G178" s="1" t="s">
        <v>213</v>
      </c>
      <c r="H178" s="1" t="s">
        <v>214</v>
      </c>
      <c r="I178" s="1" t="s">
        <v>107</v>
      </c>
      <c r="J178" s="1">
        <v>4</v>
      </c>
      <c r="K178" s="2">
        <v>1994</v>
      </c>
      <c r="L178" s="5">
        <v>7577.2</v>
      </c>
      <c r="M178" s="5">
        <v>2573.12</v>
      </c>
      <c r="N178" s="1" t="s">
        <v>113</v>
      </c>
      <c r="O178" s="1" t="s">
        <v>22</v>
      </c>
      <c r="P178" s="1" t="str">
        <f t="shared" si="2"/>
        <v>Medium Value</v>
      </c>
    </row>
    <row r="179" spans="1:16" x14ac:dyDescent="0.35">
      <c r="A179" s="3" t="s">
        <v>472</v>
      </c>
      <c r="B179" s="4">
        <v>45746</v>
      </c>
      <c r="C179" s="1" t="s">
        <v>473</v>
      </c>
      <c r="D179" s="1" t="s">
        <v>474</v>
      </c>
      <c r="E179" s="1" t="s">
        <v>80</v>
      </c>
      <c r="F179" s="1" t="s">
        <v>81</v>
      </c>
      <c r="G179" s="1" t="s">
        <v>42</v>
      </c>
      <c r="H179" s="1" t="s">
        <v>43</v>
      </c>
      <c r="I179" s="1" t="s">
        <v>44</v>
      </c>
      <c r="J179" s="1">
        <v>6</v>
      </c>
      <c r="K179" s="2">
        <v>989</v>
      </c>
      <c r="L179" s="5">
        <v>4747.2</v>
      </c>
      <c r="M179" s="5">
        <v>1280.6199999999999</v>
      </c>
      <c r="N179" s="1" t="s">
        <v>59</v>
      </c>
      <c r="O179" s="1" t="s">
        <v>22</v>
      </c>
      <c r="P179" s="1" t="str">
        <f t="shared" si="2"/>
        <v>Low Value</v>
      </c>
    </row>
    <row r="180" spans="1:16" x14ac:dyDescent="0.35">
      <c r="A180" s="3" t="s">
        <v>475</v>
      </c>
      <c r="B180" s="4">
        <v>45784</v>
      </c>
      <c r="C180" s="1" t="s">
        <v>476</v>
      </c>
      <c r="D180" s="1" t="s">
        <v>477</v>
      </c>
      <c r="E180" s="1" t="s">
        <v>80</v>
      </c>
      <c r="F180" s="1" t="s">
        <v>81</v>
      </c>
      <c r="G180" s="1" t="s">
        <v>70</v>
      </c>
      <c r="H180" s="1" t="s">
        <v>71</v>
      </c>
      <c r="I180" s="1" t="s">
        <v>44</v>
      </c>
      <c r="J180" s="1">
        <v>4</v>
      </c>
      <c r="K180" s="2">
        <v>3299</v>
      </c>
      <c r="L180" s="5">
        <v>12536.2</v>
      </c>
      <c r="M180" s="5">
        <v>3448.44</v>
      </c>
      <c r="N180" s="1" t="s">
        <v>113</v>
      </c>
      <c r="O180" s="1" t="s">
        <v>22</v>
      </c>
      <c r="P180" s="1" t="str">
        <f t="shared" si="2"/>
        <v>High Value</v>
      </c>
    </row>
    <row r="181" spans="1:16" x14ac:dyDescent="0.35">
      <c r="A181" s="3" t="s">
        <v>478</v>
      </c>
      <c r="B181" s="4">
        <v>45944</v>
      </c>
      <c r="C181" s="1" t="s">
        <v>207</v>
      </c>
      <c r="D181" s="1" t="s">
        <v>208</v>
      </c>
      <c r="E181" s="1" t="s">
        <v>49</v>
      </c>
      <c r="F181" s="1" t="s">
        <v>49</v>
      </c>
      <c r="G181" s="1" t="s">
        <v>120</v>
      </c>
      <c r="H181" s="1" t="s">
        <v>121</v>
      </c>
      <c r="I181" s="1" t="s">
        <v>20</v>
      </c>
      <c r="J181" s="1">
        <v>7</v>
      </c>
      <c r="K181" s="2">
        <v>1499</v>
      </c>
      <c r="L181" s="5">
        <v>9968.35</v>
      </c>
      <c r="M181" s="5">
        <v>3289.69</v>
      </c>
      <c r="N181" s="1" t="s">
        <v>45</v>
      </c>
      <c r="O181" s="1" t="s">
        <v>22</v>
      </c>
      <c r="P181" s="1" t="str">
        <f t="shared" si="2"/>
        <v>Medium Value</v>
      </c>
    </row>
    <row r="182" spans="1:16" x14ac:dyDescent="0.35">
      <c r="A182" s="3" t="s">
        <v>479</v>
      </c>
      <c r="B182" s="4">
        <v>45698</v>
      </c>
      <c r="C182" s="1" t="s">
        <v>480</v>
      </c>
      <c r="D182" s="1" t="s">
        <v>481</v>
      </c>
      <c r="E182" s="1" t="s">
        <v>172</v>
      </c>
      <c r="F182" s="1" t="s">
        <v>173</v>
      </c>
      <c r="G182" s="1" t="s">
        <v>57</v>
      </c>
      <c r="H182" s="1" t="s">
        <v>58</v>
      </c>
      <c r="I182" s="1" t="s">
        <v>44</v>
      </c>
      <c r="J182" s="1">
        <v>8</v>
      </c>
      <c r="K182" s="2">
        <v>399</v>
      </c>
      <c r="L182" s="5">
        <v>3192</v>
      </c>
      <c r="M182" s="5">
        <v>964.46</v>
      </c>
      <c r="N182" s="1" t="s">
        <v>59</v>
      </c>
      <c r="O182" s="1" t="s">
        <v>90</v>
      </c>
      <c r="P182" s="1" t="str">
        <f t="shared" si="2"/>
        <v>Low Value</v>
      </c>
    </row>
    <row r="183" spans="1:16" x14ac:dyDescent="0.35">
      <c r="A183" s="3" t="s">
        <v>482</v>
      </c>
      <c r="B183" s="4">
        <v>45797</v>
      </c>
      <c r="C183" s="1" t="s">
        <v>483</v>
      </c>
      <c r="D183" s="1" t="s">
        <v>484</v>
      </c>
      <c r="E183" s="1" t="s">
        <v>94</v>
      </c>
      <c r="F183" s="1" t="s">
        <v>27</v>
      </c>
      <c r="G183" s="1" t="s">
        <v>131</v>
      </c>
      <c r="H183" s="1" t="s">
        <v>132</v>
      </c>
      <c r="I183" s="1" t="s">
        <v>44</v>
      </c>
      <c r="J183" s="1">
        <v>4</v>
      </c>
      <c r="K183" s="2">
        <v>549</v>
      </c>
      <c r="L183" s="5">
        <v>2196</v>
      </c>
      <c r="M183" s="5">
        <v>587.13</v>
      </c>
      <c r="N183" s="1" t="s">
        <v>21</v>
      </c>
      <c r="O183" s="1" t="s">
        <v>22</v>
      </c>
      <c r="P183" s="1" t="str">
        <f t="shared" si="2"/>
        <v>Low Value</v>
      </c>
    </row>
    <row r="184" spans="1:16" x14ac:dyDescent="0.35">
      <c r="A184" s="3" t="s">
        <v>485</v>
      </c>
      <c r="B184" s="4">
        <v>45684</v>
      </c>
      <c r="C184" s="1" t="s">
        <v>486</v>
      </c>
      <c r="D184" s="1" t="s">
        <v>487</v>
      </c>
      <c r="E184" s="1" t="s">
        <v>75</v>
      </c>
      <c r="F184" s="1" t="s">
        <v>76</v>
      </c>
      <c r="G184" s="1" t="s">
        <v>42</v>
      </c>
      <c r="H184" s="1" t="s">
        <v>43</v>
      </c>
      <c r="I184" s="1" t="s">
        <v>44</v>
      </c>
      <c r="J184" s="1">
        <v>8</v>
      </c>
      <c r="K184" s="2">
        <v>809</v>
      </c>
      <c r="L184" s="5">
        <v>5177.6000000000004</v>
      </c>
      <c r="M184" s="5">
        <v>1499.27</v>
      </c>
      <c r="N184" s="1" t="s">
        <v>89</v>
      </c>
      <c r="O184" s="1" t="s">
        <v>53</v>
      </c>
      <c r="P184" s="1" t="str">
        <f t="shared" si="2"/>
        <v>Medium Value</v>
      </c>
    </row>
    <row r="185" spans="1:16" x14ac:dyDescent="0.35">
      <c r="A185" s="3" t="s">
        <v>488</v>
      </c>
      <c r="B185" s="4">
        <v>45866</v>
      </c>
      <c r="C185" s="1" t="s">
        <v>489</v>
      </c>
      <c r="D185" s="1" t="s">
        <v>490</v>
      </c>
      <c r="E185" s="1" t="s">
        <v>16</v>
      </c>
      <c r="F185" s="1" t="s">
        <v>17</v>
      </c>
      <c r="G185" s="1" t="s">
        <v>105</v>
      </c>
      <c r="H185" s="1" t="s">
        <v>106</v>
      </c>
      <c r="I185" s="1" t="s">
        <v>107</v>
      </c>
      <c r="J185" s="1">
        <v>4</v>
      </c>
      <c r="K185" s="2">
        <v>999</v>
      </c>
      <c r="L185" s="5">
        <v>3796.2</v>
      </c>
      <c r="M185" s="5">
        <v>693.91</v>
      </c>
      <c r="N185" s="1" t="s">
        <v>89</v>
      </c>
      <c r="O185" s="1" t="s">
        <v>90</v>
      </c>
      <c r="P185" s="1" t="str">
        <f t="shared" si="2"/>
        <v>Low Value</v>
      </c>
    </row>
    <row r="186" spans="1:16" x14ac:dyDescent="0.35">
      <c r="A186" s="3" t="s">
        <v>491</v>
      </c>
      <c r="B186" s="4">
        <v>45991</v>
      </c>
      <c r="C186" s="1" t="s">
        <v>492</v>
      </c>
      <c r="D186" s="1" t="s">
        <v>493</v>
      </c>
      <c r="E186" s="1" t="s">
        <v>141</v>
      </c>
      <c r="F186" s="1" t="s">
        <v>69</v>
      </c>
      <c r="G186" s="1" t="s">
        <v>254</v>
      </c>
      <c r="H186" s="1" t="s">
        <v>255</v>
      </c>
      <c r="I186" s="1" t="s">
        <v>30</v>
      </c>
      <c r="J186" s="1">
        <v>1</v>
      </c>
      <c r="K186" s="2">
        <v>799</v>
      </c>
      <c r="L186" s="5">
        <v>719.1</v>
      </c>
      <c r="M186" s="5">
        <v>225.86</v>
      </c>
      <c r="N186" s="1" t="s">
        <v>45</v>
      </c>
      <c r="O186" s="1" t="s">
        <v>90</v>
      </c>
      <c r="P186" s="1" t="str">
        <f t="shared" si="2"/>
        <v>Low Value</v>
      </c>
    </row>
    <row r="187" spans="1:16" x14ac:dyDescent="0.35">
      <c r="A187" s="3" t="s">
        <v>494</v>
      </c>
      <c r="B187" s="4">
        <v>45861</v>
      </c>
      <c r="C187" s="1" t="s">
        <v>143</v>
      </c>
      <c r="D187" s="1" t="s">
        <v>144</v>
      </c>
      <c r="E187" s="1" t="s">
        <v>101</v>
      </c>
      <c r="F187" s="1" t="s">
        <v>86</v>
      </c>
      <c r="G187" s="1" t="s">
        <v>70</v>
      </c>
      <c r="H187" s="1" t="s">
        <v>71</v>
      </c>
      <c r="I187" s="1" t="s">
        <v>44</v>
      </c>
      <c r="J187" s="1">
        <v>1</v>
      </c>
      <c r="K187" s="2">
        <v>2969</v>
      </c>
      <c r="L187" s="5">
        <v>2820.55</v>
      </c>
      <c r="M187" s="5">
        <v>690.9</v>
      </c>
      <c r="N187" s="1" t="s">
        <v>89</v>
      </c>
      <c r="O187" s="1" t="s">
        <v>90</v>
      </c>
      <c r="P187" s="1" t="str">
        <f t="shared" si="2"/>
        <v>Low Value</v>
      </c>
    </row>
    <row r="188" spans="1:16" x14ac:dyDescent="0.35">
      <c r="A188" s="3" t="s">
        <v>495</v>
      </c>
      <c r="B188" s="4">
        <v>45803</v>
      </c>
      <c r="C188" s="1" t="s">
        <v>496</v>
      </c>
      <c r="D188" s="1" t="s">
        <v>366</v>
      </c>
      <c r="E188" s="1" t="s">
        <v>80</v>
      </c>
      <c r="F188" s="1" t="s">
        <v>81</v>
      </c>
      <c r="G188" s="1" t="s">
        <v>213</v>
      </c>
      <c r="H188" s="1" t="s">
        <v>214</v>
      </c>
      <c r="I188" s="1" t="s">
        <v>107</v>
      </c>
      <c r="J188" s="1">
        <v>8</v>
      </c>
      <c r="K188" s="2">
        <v>1899</v>
      </c>
      <c r="L188" s="5">
        <v>12913.2</v>
      </c>
      <c r="M188" s="5">
        <v>2879.19</v>
      </c>
      <c r="N188" s="1" t="s">
        <v>45</v>
      </c>
      <c r="O188" s="1" t="s">
        <v>136</v>
      </c>
      <c r="P188" s="1" t="str">
        <f t="shared" si="2"/>
        <v>High Value</v>
      </c>
    </row>
    <row r="189" spans="1:16" x14ac:dyDescent="0.35">
      <c r="A189" s="3" t="s">
        <v>497</v>
      </c>
      <c r="B189" s="4">
        <v>45741</v>
      </c>
      <c r="C189" s="1" t="s">
        <v>473</v>
      </c>
      <c r="D189" s="1" t="s">
        <v>474</v>
      </c>
      <c r="E189" s="1" t="s">
        <v>68</v>
      </c>
      <c r="F189" s="1" t="s">
        <v>69</v>
      </c>
      <c r="G189" s="1" t="s">
        <v>198</v>
      </c>
      <c r="H189" s="1" t="s">
        <v>199</v>
      </c>
      <c r="I189" s="1" t="s">
        <v>37</v>
      </c>
      <c r="J189" s="1">
        <v>1</v>
      </c>
      <c r="K189" s="2">
        <v>769</v>
      </c>
      <c r="L189" s="5">
        <v>730.55</v>
      </c>
      <c r="M189" s="5">
        <v>214.76</v>
      </c>
      <c r="N189" s="1" t="s">
        <v>21</v>
      </c>
      <c r="O189" s="1" t="s">
        <v>22</v>
      </c>
      <c r="P189" s="1" t="str">
        <f t="shared" si="2"/>
        <v>Low Value</v>
      </c>
    </row>
    <row r="190" spans="1:16" x14ac:dyDescent="0.35">
      <c r="A190" s="3" t="s">
        <v>498</v>
      </c>
      <c r="B190" s="4">
        <v>45747</v>
      </c>
      <c r="C190" s="1" t="s">
        <v>460</v>
      </c>
      <c r="D190" s="1" t="s">
        <v>461</v>
      </c>
      <c r="E190" s="1" t="s">
        <v>145</v>
      </c>
      <c r="F190" s="1" t="s">
        <v>0</v>
      </c>
      <c r="G190" s="1" t="s">
        <v>87</v>
      </c>
      <c r="H190" s="1" t="s">
        <v>88</v>
      </c>
      <c r="I190" s="1" t="s">
        <v>52</v>
      </c>
      <c r="J190" s="1">
        <v>6</v>
      </c>
      <c r="K190" s="2">
        <v>5849</v>
      </c>
      <c r="L190" s="5">
        <v>31584.6</v>
      </c>
      <c r="M190" s="5">
        <v>8440.5499999999993</v>
      </c>
      <c r="N190" s="1" t="s">
        <v>45</v>
      </c>
      <c r="O190" s="1" t="s">
        <v>53</v>
      </c>
      <c r="P190" s="1" t="str">
        <f t="shared" si="2"/>
        <v>High Value</v>
      </c>
    </row>
    <row r="191" spans="1:16" x14ac:dyDescent="0.35">
      <c r="A191" s="3" t="s">
        <v>499</v>
      </c>
      <c r="B191" s="4">
        <v>45823</v>
      </c>
      <c r="C191" s="1" t="s">
        <v>92</v>
      </c>
      <c r="D191" s="1" t="s">
        <v>93</v>
      </c>
      <c r="E191" s="1" t="s">
        <v>166</v>
      </c>
      <c r="F191" s="1" t="s">
        <v>27</v>
      </c>
      <c r="G191" s="1" t="s">
        <v>57</v>
      </c>
      <c r="H191" s="1" t="s">
        <v>58</v>
      </c>
      <c r="I191" s="1" t="s">
        <v>44</v>
      </c>
      <c r="J191" s="1">
        <v>7</v>
      </c>
      <c r="K191" s="2">
        <v>399</v>
      </c>
      <c r="L191" s="5">
        <v>2513.6999999999998</v>
      </c>
      <c r="M191" s="5">
        <v>718.48</v>
      </c>
      <c r="N191" s="1" t="s">
        <v>59</v>
      </c>
      <c r="O191" s="1" t="s">
        <v>22</v>
      </c>
      <c r="P191" s="1" t="str">
        <f t="shared" si="2"/>
        <v>Low Value</v>
      </c>
    </row>
    <row r="192" spans="1:16" x14ac:dyDescent="0.35">
      <c r="A192" s="3" t="s">
        <v>500</v>
      </c>
      <c r="B192" s="4">
        <v>45951</v>
      </c>
      <c r="C192" s="1" t="s">
        <v>501</v>
      </c>
      <c r="D192" s="1" t="s">
        <v>502</v>
      </c>
      <c r="E192" s="1" t="s">
        <v>68</v>
      </c>
      <c r="F192" s="1" t="s">
        <v>69</v>
      </c>
      <c r="G192" s="1" t="s">
        <v>95</v>
      </c>
      <c r="H192" s="1" t="s">
        <v>96</v>
      </c>
      <c r="I192" s="1" t="s">
        <v>97</v>
      </c>
      <c r="J192" s="1">
        <v>4</v>
      </c>
      <c r="K192" s="2">
        <v>224</v>
      </c>
      <c r="L192" s="5">
        <v>716.8</v>
      </c>
      <c r="M192" s="5">
        <v>104.66</v>
      </c>
      <c r="N192" s="1" t="s">
        <v>59</v>
      </c>
      <c r="O192" s="1" t="s">
        <v>22</v>
      </c>
      <c r="P192" s="1" t="str">
        <f t="shared" si="2"/>
        <v>Low Value</v>
      </c>
    </row>
    <row r="193" spans="1:16" x14ac:dyDescent="0.35">
      <c r="A193" s="3" t="s">
        <v>503</v>
      </c>
      <c r="B193" s="4">
        <v>45915</v>
      </c>
      <c r="C193" s="1" t="s">
        <v>362</v>
      </c>
      <c r="D193" s="1" t="s">
        <v>363</v>
      </c>
      <c r="E193" s="1" t="s">
        <v>94</v>
      </c>
      <c r="F193" s="1" t="s">
        <v>27</v>
      </c>
      <c r="G193" s="1" t="s">
        <v>70</v>
      </c>
      <c r="H193" s="1" t="s">
        <v>71</v>
      </c>
      <c r="I193" s="1" t="s">
        <v>44</v>
      </c>
      <c r="J193" s="1">
        <v>6</v>
      </c>
      <c r="K193" s="2">
        <v>3464</v>
      </c>
      <c r="L193" s="5">
        <v>20784</v>
      </c>
      <c r="M193" s="5">
        <v>3496.04</v>
      </c>
      <c r="N193" s="1" t="s">
        <v>45</v>
      </c>
      <c r="O193" s="1" t="s">
        <v>22</v>
      </c>
      <c r="P193" s="1" t="str">
        <f t="shared" si="2"/>
        <v>High Value</v>
      </c>
    </row>
    <row r="194" spans="1:16" x14ac:dyDescent="0.35">
      <c r="A194" s="3" t="s">
        <v>504</v>
      </c>
      <c r="B194" s="4">
        <v>45968</v>
      </c>
      <c r="C194" s="1" t="s">
        <v>379</v>
      </c>
      <c r="D194" s="1" t="s">
        <v>380</v>
      </c>
      <c r="E194" s="1" t="s">
        <v>75</v>
      </c>
      <c r="F194" s="1" t="s">
        <v>76</v>
      </c>
      <c r="G194" s="1" t="s">
        <v>254</v>
      </c>
      <c r="H194" s="1" t="s">
        <v>255</v>
      </c>
      <c r="I194" s="1" t="s">
        <v>30</v>
      </c>
      <c r="J194" s="1">
        <v>8</v>
      </c>
      <c r="K194" s="2">
        <v>839</v>
      </c>
      <c r="L194" s="5">
        <v>5369.6</v>
      </c>
      <c r="M194" s="5">
        <v>1619.65</v>
      </c>
      <c r="N194" s="1" t="s">
        <v>45</v>
      </c>
      <c r="O194" s="1" t="s">
        <v>22</v>
      </c>
      <c r="P194" s="1" t="str">
        <f t="shared" ref="P194:P257" si="3">IF(L194&gt;=10000,"High Value",IF(L194&gt;=5000,"Medium Value","Low Value"))</f>
        <v>Medium Value</v>
      </c>
    </row>
    <row r="195" spans="1:16" x14ac:dyDescent="0.35">
      <c r="A195" s="3" t="s">
        <v>505</v>
      </c>
      <c r="B195" s="4">
        <v>45699</v>
      </c>
      <c r="C195" s="1" t="s">
        <v>273</v>
      </c>
      <c r="D195" s="1" t="s">
        <v>274</v>
      </c>
      <c r="E195" s="1" t="s">
        <v>172</v>
      </c>
      <c r="F195" s="1" t="s">
        <v>173</v>
      </c>
      <c r="G195" s="1" t="s">
        <v>213</v>
      </c>
      <c r="H195" s="1" t="s">
        <v>214</v>
      </c>
      <c r="I195" s="1" t="s">
        <v>107</v>
      </c>
      <c r="J195" s="1">
        <v>6</v>
      </c>
      <c r="K195" s="2">
        <v>1709</v>
      </c>
      <c r="L195" s="5">
        <v>8715.9</v>
      </c>
      <c r="M195" s="5">
        <v>1261.07</v>
      </c>
      <c r="N195" s="1" t="s">
        <v>21</v>
      </c>
      <c r="O195" s="1" t="s">
        <v>90</v>
      </c>
      <c r="P195" s="1" t="str">
        <f t="shared" si="3"/>
        <v>Medium Value</v>
      </c>
    </row>
    <row r="196" spans="1:16" x14ac:dyDescent="0.35">
      <c r="A196" s="3" t="s">
        <v>506</v>
      </c>
      <c r="B196" s="4">
        <v>45951</v>
      </c>
      <c r="C196" s="1" t="s">
        <v>507</v>
      </c>
      <c r="D196" s="1" t="s">
        <v>508</v>
      </c>
      <c r="E196" s="1" t="s">
        <v>85</v>
      </c>
      <c r="F196" s="1" t="s">
        <v>86</v>
      </c>
      <c r="G196" s="1" t="s">
        <v>198</v>
      </c>
      <c r="H196" s="1" t="s">
        <v>199</v>
      </c>
      <c r="I196" s="1" t="s">
        <v>37</v>
      </c>
      <c r="J196" s="1">
        <v>6</v>
      </c>
      <c r="K196" s="2">
        <v>734</v>
      </c>
      <c r="L196" s="5">
        <v>3963.6</v>
      </c>
      <c r="M196" s="5">
        <v>576.99</v>
      </c>
      <c r="N196" s="1" t="s">
        <v>45</v>
      </c>
      <c r="O196" s="1" t="s">
        <v>22</v>
      </c>
      <c r="P196" s="1" t="str">
        <f t="shared" si="3"/>
        <v>Low Value</v>
      </c>
    </row>
    <row r="197" spans="1:16" x14ac:dyDescent="0.35">
      <c r="A197" s="3" t="s">
        <v>509</v>
      </c>
      <c r="B197" s="4">
        <v>45704</v>
      </c>
      <c r="C197" s="1" t="s">
        <v>386</v>
      </c>
      <c r="D197" s="1" t="s">
        <v>277</v>
      </c>
      <c r="E197" s="1" t="s">
        <v>172</v>
      </c>
      <c r="F197" s="1" t="s">
        <v>173</v>
      </c>
      <c r="G197" s="1" t="s">
        <v>177</v>
      </c>
      <c r="H197" s="1" t="s">
        <v>178</v>
      </c>
      <c r="I197" s="1" t="s">
        <v>20</v>
      </c>
      <c r="J197" s="1">
        <v>8</v>
      </c>
      <c r="K197" s="2">
        <v>2499</v>
      </c>
      <c r="L197" s="5">
        <v>16993.2</v>
      </c>
      <c r="M197" s="5">
        <v>3592.25</v>
      </c>
      <c r="N197" s="1" t="s">
        <v>21</v>
      </c>
      <c r="O197" s="1" t="s">
        <v>22</v>
      </c>
      <c r="P197" s="1" t="str">
        <f t="shared" si="3"/>
        <v>High Value</v>
      </c>
    </row>
    <row r="198" spans="1:16" x14ac:dyDescent="0.35">
      <c r="A198" s="3" t="s">
        <v>510</v>
      </c>
      <c r="B198" s="4">
        <v>46002</v>
      </c>
      <c r="C198" s="1" t="s">
        <v>511</v>
      </c>
      <c r="D198" s="1" t="s">
        <v>512</v>
      </c>
      <c r="E198" s="1" t="s">
        <v>166</v>
      </c>
      <c r="F198" s="1" t="s">
        <v>27</v>
      </c>
      <c r="G198" s="1" t="s">
        <v>262</v>
      </c>
      <c r="H198" s="1" t="s">
        <v>263</v>
      </c>
      <c r="I198" s="1" t="s">
        <v>97</v>
      </c>
      <c r="J198" s="1">
        <v>5</v>
      </c>
      <c r="K198" s="2">
        <v>134</v>
      </c>
      <c r="L198" s="5">
        <v>536</v>
      </c>
      <c r="M198" s="5">
        <v>90.01</v>
      </c>
      <c r="N198" s="1" t="s">
        <v>89</v>
      </c>
      <c r="O198" s="1" t="s">
        <v>22</v>
      </c>
      <c r="P198" s="1" t="str">
        <f t="shared" si="3"/>
        <v>Low Value</v>
      </c>
    </row>
    <row r="199" spans="1:16" x14ac:dyDescent="0.35">
      <c r="A199" s="3" t="s">
        <v>513</v>
      </c>
      <c r="B199" s="4">
        <v>46016</v>
      </c>
      <c r="C199" s="1" t="s">
        <v>226</v>
      </c>
      <c r="D199" s="1" t="s">
        <v>227</v>
      </c>
      <c r="E199" s="1" t="s">
        <v>80</v>
      </c>
      <c r="F199" s="1" t="s">
        <v>81</v>
      </c>
      <c r="G199" s="1" t="s">
        <v>177</v>
      </c>
      <c r="H199" s="1" t="s">
        <v>178</v>
      </c>
      <c r="I199" s="1" t="s">
        <v>20</v>
      </c>
      <c r="J199" s="1">
        <v>2</v>
      </c>
      <c r="K199" s="2">
        <v>2499</v>
      </c>
      <c r="L199" s="5">
        <v>4998</v>
      </c>
      <c r="M199" s="5">
        <v>915.43</v>
      </c>
      <c r="N199" s="1" t="s">
        <v>45</v>
      </c>
      <c r="O199" s="1" t="s">
        <v>136</v>
      </c>
      <c r="P199" s="1" t="str">
        <f t="shared" si="3"/>
        <v>Low Value</v>
      </c>
    </row>
    <row r="200" spans="1:16" x14ac:dyDescent="0.35">
      <c r="A200" s="3" t="s">
        <v>514</v>
      </c>
      <c r="B200" s="4">
        <v>45988</v>
      </c>
      <c r="C200" s="1" t="s">
        <v>180</v>
      </c>
      <c r="D200" s="1" t="s">
        <v>181</v>
      </c>
      <c r="E200" s="1" t="s">
        <v>312</v>
      </c>
      <c r="F200" s="1" t="s">
        <v>112</v>
      </c>
      <c r="G200" s="1" t="s">
        <v>262</v>
      </c>
      <c r="H200" s="1" t="s">
        <v>263</v>
      </c>
      <c r="I200" s="1" t="s">
        <v>97</v>
      </c>
      <c r="J200" s="1">
        <v>8</v>
      </c>
      <c r="K200" s="2">
        <v>149</v>
      </c>
      <c r="L200" s="5">
        <v>1072.8</v>
      </c>
      <c r="M200" s="5">
        <v>147.68</v>
      </c>
      <c r="N200" s="1" t="s">
        <v>21</v>
      </c>
      <c r="O200" s="1" t="s">
        <v>22</v>
      </c>
      <c r="P200" s="1" t="str">
        <f t="shared" si="3"/>
        <v>Low Value</v>
      </c>
    </row>
    <row r="201" spans="1:16" x14ac:dyDescent="0.35">
      <c r="A201" s="3" t="s">
        <v>515</v>
      </c>
      <c r="B201" s="4">
        <v>45718</v>
      </c>
      <c r="C201" s="1" t="s">
        <v>368</v>
      </c>
      <c r="D201" s="1" t="s">
        <v>217</v>
      </c>
      <c r="E201" s="1" t="s">
        <v>80</v>
      </c>
      <c r="F201" s="1" t="s">
        <v>81</v>
      </c>
      <c r="G201" s="1" t="s">
        <v>262</v>
      </c>
      <c r="H201" s="1" t="s">
        <v>263</v>
      </c>
      <c r="I201" s="1" t="s">
        <v>97</v>
      </c>
      <c r="J201" s="1">
        <v>3</v>
      </c>
      <c r="K201" s="2">
        <v>164</v>
      </c>
      <c r="L201" s="5">
        <v>492</v>
      </c>
      <c r="M201" s="5">
        <v>149.4</v>
      </c>
      <c r="N201" s="1" t="s">
        <v>89</v>
      </c>
      <c r="O201" s="1" t="s">
        <v>53</v>
      </c>
      <c r="P201" s="1" t="str">
        <f t="shared" si="3"/>
        <v>Low Value</v>
      </c>
    </row>
    <row r="202" spans="1:16" x14ac:dyDescent="0.35">
      <c r="A202" s="3" t="s">
        <v>516</v>
      </c>
      <c r="B202" s="4">
        <v>46002</v>
      </c>
      <c r="C202" s="1" t="s">
        <v>168</v>
      </c>
      <c r="D202" s="1" t="s">
        <v>62</v>
      </c>
      <c r="E202" s="1" t="s">
        <v>75</v>
      </c>
      <c r="F202" s="1" t="s">
        <v>76</v>
      </c>
      <c r="G202" s="1" t="s">
        <v>254</v>
      </c>
      <c r="H202" s="1" t="s">
        <v>255</v>
      </c>
      <c r="I202" s="1" t="s">
        <v>30</v>
      </c>
      <c r="J202" s="1">
        <v>7</v>
      </c>
      <c r="K202" s="2">
        <v>799</v>
      </c>
      <c r="L202" s="5">
        <v>5593</v>
      </c>
      <c r="M202" s="5">
        <v>1237.94</v>
      </c>
      <c r="N202" s="1" t="s">
        <v>45</v>
      </c>
      <c r="O202" s="1" t="s">
        <v>22</v>
      </c>
      <c r="P202" s="1" t="str">
        <f t="shared" si="3"/>
        <v>Medium Value</v>
      </c>
    </row>
    <row r="203" spans="1:16" x14ac:dyDescent="0.35">
      <c r="A203" s="3" t="s">
        <v>517</v>
      </c>
      <c r="B203" s="4">
        <v>45715</v>
      </c>
      <c r="C203" s="1" t="s">
        <v>518</v>
      </c>
      <c r="D203" s="1" t="s">
        <v>519</v>
      </c>
      <c r="E203" s="1" t="s">
        <v>75</v>
      </c>
      <c r="F203" s="1" t="s">
        <v>76</v>
      </c>
      <c r="G203" s="1" t="s">
        <v>131</v>
      </c>
      <c r="H203" s="1" t="s">
        <v>132</v>
      </c>
      <c r="I203" s="1" t="s">
        <v>44</v>
      </c>
      <c r="J203" s="1">
        <v>1</v>
      </c>
      <c r="K203" s="2">
        <v>549</v>
      </c>
      <c r="L203" s="5">
        <v>549</v>
      </c>
      <c r="M203" s="5">
        <v>74.010000000000005</v>
      </c>
      <c r="N203" s="1" t="s">
        <v>21</v>
      </c>
      <c r="O203" s="1" t="s">
        <v>22</v>
      </c>
      <c r="P203" s="1" t="str">
        <f t="shared" si="3"/>
        <v>Low Value</v>
      </c>
    </row>
    <row r="204" spans="1:16" x14ac:dyDescent="0.35">
      <c r="A204" s="3" t="s">
        <v>520</v>
      </c>
      <c r="B204" s="4">
        <v>46002</v>
      </c>
      <c r="C204" s="1" t="s">
        <v>521</v>
      </c>
      <c r="D204" s="1" t="s">
        <v>189</v>
      </c>
      <c r="E204" s="1" t="s">
        <v>141</v>
      </c>
      <c r="F204" s="1" t="s">
        <v>69</v>
      </c>
      <c r="G204" s="1" t="s">
        <v>177</v>
      </c>
      <c r="H204" s="1" t="s">
        <v>178</v>
      </c>
      <c r="I204" s="1" t="s">
        <v>20</v>
      </c>
      <c r="J204" s="1">
        <v>7</v>
      </c>
      <c r="K204" s="2">
        <v>2499</v>
      </c>
      <c r="L204" s="5">
        <v>17493</v>
      </c>
      <c r="M204" s="5">
        <v>4176.3999999999996</v>
      </c>
      <c r="N204" s="1" t="s">
        <v>89</v>
      </c>
      <c r="O204" s="1" t="s">
        <v>22</v>
      </c>
      <c r="P204" s="1" t="str">
        <f t="shared" si="3"/>
        <v>High Value</v>
      </c>
    </row>
    <row r="205" spans="1:16" x14ac:dyDescent="0.35">
      <c r="A205" s="3" t="s">
        <v>522</v>
      </c>
      <c r="B205" s="4">
        <v>45777</v>
      </c>
      <c r="C205" s="1" t="s">
        <v>523</v>
      </c>
      <c r="D205" s="1" t="s">
        <v>306</v>
      </c>
      <c r="E205" s="1" t="s">
        <v>111</v>
      </c>
      <c r="F205" s="1" t="s">
        <v>112</v>
      </c>
      <c r="G205" s="1" t="s">
        <v>28</v>
      </c>
      <c r="H205" s="1" t="s">
        <v>29</v>
      </c>
      <c r="I205" s="1" t="s">
        <v>30</v>
      </c>
      <c r="J205" s="1">
        <v>6</v>
      </c>
      <c r="K205" s="2">
        <v>1599</v>
      </c>
      <c r="L205" s="5">
        <v>9114.2999999999993</v>
      </c>
      <c r="M205" s="5">
        <v>2850.74</v>
      </c>
      <c r="N205" s="1" t="s">
        <v>21</v>
      </c>
      <c r="O205" s="1" t="s">
        <v>22</v>
      </c>
      <c r="P205" s="1" t="str">
        <f t="shared" si="3"/>
        <v>Medium Value</v>
      </c>
    </row>
    <row r="206" spans="1:16" x14ac:dyDescent="0.35">
      <c r="A206" s="3" t="s">
        <v>524</v>
      </c>
      <c r="B206" s="4">
        <v>45798</v>
      </c>
      <c r="C206" s="1" t="s">
        <v>330</v>
      </c>
      <c r="D206" s="1" t="s">
        <v>287</v>
      </c>
      <c r="E206" s="1" t="s">
        <v>80</v>
      </c>
      <c r="F206" s="1" t="s">
        <v>81</v>
      </c>
      <c r="G206" s="1" t="s">
        <v>28</v>
      </c>
      <c r="H206" s="1" t="s">
        <v>29</v>
      </c>
      <c r="I206" s="1" t="s">
        <v>30</v>
      </c>
      <c r="J206" s="1">
        <v>3</v>
      </c>
      <c r="K206" s="2">
        <v>1759</v>
      </c>
      <c r="L206" s="5">
        <v>4221.6000000000004</v>
      </c>
      <c r="M206" s="5">
        <v>903.36</v>
      </c>
      <c r="N206" s="1" t="s">
        <v>113</v>
      </c>
      <c r="O206" s="1" t="s">
        <v>22</v>
      </c>
      <c r="P206" s="1" t="str">
        <f t="shared" si="3"/>
        <v>Low Value</v>
      </c>
    </row>
    <row r="207" spans="1:16" x14ac:dyDescent="0.35">
      <c r="A207" s="3" t="s">
        <v>525</v>
      </c>
      <c r="B207" s="4">
        <v>45987</v>
      </c>
      <c r="C207" s="1" t="s">
        <v>123</v>
      </c>
      <c r="D207" s="1" t="s">
        <v>124</v>
      </c>
      <c r="E207" s="1" t="s">
        <v>145</v>
      </c>
      <c r="F207" s="1" t="s">
        <v>0</v>
      </c>
      <c r="G207" s="1" t="s">
        <v>213</v>
      </c>
      <c r="H207" s="1" t="s">
        <v>214</v>
      </c>
      <c r="I207" s="1" t="s">
        <v>107</v>
      </c>
      <c r="J207" s="1">
        <v>6</v>
      </c>
      <c r="K207" s="2">
        <v>2089</v>
      </c>
      <c r="L207" s="5">
        <v>11280.6</v>
      </c>
      <c r="M207" s="5">
        <v>2366.86</v>
      </c>
      <c r="N207" s="1" t="s">
        <v>59</v>
      </c>
      <c r="O207" s="1" t="s">
        <v>22</v>
      </c>
      <c r="P207" s="1" t="str">
        <f t="shared" si="3"/>
        <v>High Value</v>
      </c>
    </row>
    <row r="208" spans="1:16" x14ac:dyDescent="0.35">
      <c r="A208" s="3" t="s">
        <v>526</v>
      </c>
      <c r="B208" s="4">
        <v>45900</v>
      </c>
      <c r="C208" s="1" t="s">
        <v>527</v>
      </c>
      <c r="D208" s="1" t="s">
        <v>528</v>
      </c>
      <c r="E208" s="1" t="s">
        <v>141</v>
      </c>
      <c r="F208" s="1" t="s">
        <v>69</v>
      </c>
      <c r="G208" s="1" t="s">
        <v>70</v>
      </c>
      <c r="H208" s="1" t="s">
        <v>71</v>
      </c>
      <c r="I208" s="1" t="s">
        <v>44</v>
      </c>
      <c r="J208" s="1">
        <v>3</v>
      </c>
      <c r="K208" s="2">
        <v>3299</v>
      </c>
      <c r="L208" s="5">
        <v>9897</v>
      </c>
      <c r="M208" s="5">
        <v>2412.15</v>
      </c>
      <c r="N208" s="1" t="s">
        <v>113</v>
      </c>
      <c r="O208" s="1" t="s">
        <v>22</v>
      </c>
      <c r="P208" s="1" t="str">
        <f t="shared" si="3"/>
        <v>Medium Value</v>
      </c>
    </row>
    <row r="209" spans="1:16" x14ac:dyDescent="0.35">
      <c r="A209" s="3" t="s">
        <v>529</v>
      </c>
      <c r="B209" s="4">
        <v>45856</v>
      </c>
      <c r="C209" s="1" t="s">
        <v>283</v>
      </c>
      <c r="D209" s="1" t="s">
        <v>284</v>
      </c>
      <c r="E209" s="1" t="s">
        <v>68</v>
      </c>
      <c r="F209" s="1" t="s">
        <v>69</v>
      </c>
      <c r="G209" s="1" t="s">
        <v>161</v>
      </c>
      <c r="H209" s="1" t="s">
        <v>162</v>
      </c>
      <c r="I209" s="1" t="s">
        <v>37</v>
      </c>
      <c r="J209" s="1">
        <v>6</v>
      </c>
      <c r="K209" s="2">
        <v>2529</v>
      </c>
      <c r="L209" s="5">
        <v>15174</v>
      </c>
      <c r="M209" s="5">
        <v>4899.53</v>
      </c>
      <c r="N209" s="1" t="s">
        <v>59</v>
      </c>
      <c r="O209" s="1" t="s">
        <v>22</v>
      </c>
      <c r="P209" s="1" t="str">
        <f t="shared" si="3"/>
        <v>High Value</v>
      </c>
    </row>
    <row r="210" spans="1:16" x14ac:dyDescent="0.35">
      <c r="A210" s="3" t="s">
        <v>530</v>
      </c>
      <c r="B210" s="4">
        <v>45755</v>
      </c>
      <c r="C210" s="1" t="s">
        <v>531</v>
      </c>
      <c r="D210" s="1" t="s">
        <v>532</v>
      </c>
      <c r="E210" s="1" t="s">
        <v>68</v>
      </c>
      <c r="F210" s="1" t="s">
        <v>69</v>
      </c>
      <c r="G210" s="1" t="s">
        <v>262</v>
      </c>
      <c r="H210" s="1" t="s">
        <v>263</v>
      </c>
      <c r="I210" s="1" t="s">
        <v>97</v>
      </c>
      <c r="J210" s="1">
        <v>1</v>
      </c>
      <c r="K210" s="2">
        <v>134</v>
      </c>
      <c r="L210" s="5">
        <v>134</v>
      </c>
      <c r="M210" s="5">
        <v>39.799999999999997</v>
      </c>
      <c r="N210" s="1" t="s">
        <v>21</v>
      </c>
      <c r="O210" s="1" t="s">
        <v>22</v>
      </c>
      <c r="P210" s="1" t="str">
        <f t="shared" si="3"/>
        <v>Low Value</v>
      </c>
    </row>
    <row r="211" spans="1:16" x14ac:dyDescent="0.35">
      <c r="A211" s="3" t="s">
        <v>533</v>
      </c>
      <c r="B211" s="4">
        <v>45769</v>
      </c>
      <c r="C211" s="1" t="s">
        <v>534</v>
      </c>
      <c r="D211" s="1" t="s">
        <v>528</v>
      </c>
      <c r="E211" s="1" t="s">
        <v>236</v>
      </c>
      <c r="F211" s="1" t="s">
        <v>86</v>
      </c>
      <c r="G211" s="1" t="s">
        <v>42</v>
      </c>
      <c r="H211" s="1" t="s">
        <v>43</v>
      </c>
      <c r="I211" s="1" t="s">
        <v>44</v>
      </c>
      <c r="J211" s="1">
        <v>5</v>
      </c>
      <c r="K211" s="2">
        <v>809</v>
      </c>
      <c r="L211" s="5">
        <v>4045</v>
      </c>
      <c r="M211" s="5">
        <v>1319.38</v>
      </c>
      <c r="N211" s="1" t="s">
        <v>89</v>
      </c>
      <c r="O211" s="1" t="s">
        <v>22</v>
      </c>
      <c r="P211" s="1" t="str">
        <f t="shared" si="3"/>
        <v>Low Value</v>
      </c>
    </row>
    <row r="212" spans="1:16" x14ac:dyDescent="0.35">
      <c r="A212" s="3" t="s">
        <v>535</v>
      </c>
      <c r="B212" s="4">
        <v>45782</v>
      </c>
      <c r="C212" s="1" t="s">
        <v>147</v>
      </c>
      <c r="D212" s="1" t="s">
        <v>148</v>
      </c>
      <c r="E212" s="1" t="s">
        <v>236</v>
      </c>
      <c r="F212" s="1" t="s">
        <v>86</v>
      </c>
      <c r="G212" s="1" t="s">
        <v>262</v>
      </c>
      <c r="H212" s="1" t="s">
        <v>263</v>
      </c>
      <c r="I212" s="1" t="s">
        <v>97</v>
      </c>
      <c r="J212" s="1">
        <v>4</v>
      </c>
      <c r="K212" s="2">
        <v>156</v>
      </c>
      <c r="L212" s="5">
        <v>592.79999999999995</v>
      </c>
      <c r="M212" s="5">
        <v>172.28</v>
      </c>
      <c r="N212" s="1" t="s">
        <v>113</v>
      </c>
      <c r="O212" s="1" t="s">
        <v>22</v>
      </c>
      <c r="P212" s="1" t="str">
        <f t="shared" si="3"/>
        <v>Low Value</v>
      </c>
    </row>
    <row r="213" spans="1:16" x14ac:dyDescent="0.35">
      <c r="A213" s="3" t="s">
        <v>536</v>
      </c>
      <c r="B213" s="4">
        <v>45841</v>
      </c>
      <c r="C213" s="1" t="s">
        <v>511</v>
      </c>
      <c r="D213" s="1" t="s">
        <v>512</v>
      </c>
      <c r="E213" s="1" t="s">
        <v>68</v>
      </c>
      <c r="F213" s="1" t="s">
        <v>69</v>
      </c>
      <c r="G213" s="1" t="s">
        <v>95</v>
      </c>
      <c r="H213" s="1" t="s">
        <v>96</v>
      </c>
      <c r="I213" s="1" t="s">
        <v>97</v>
      </c>
      <c r="J213" s="1">
        <v>8</v>
      </c>
      <c r="K213" s="2">
        <v>249</v>
      </c>
      <c r="L213" s="5">
        <v>1992</v>
      </c>
      <c r="M213" s="5">
        <v>590.87</v>
      </c>
      <c r="N213" s="1" t="s">
        <v>113</v>
      </c>
      <c r="O213" s="1" t="s">
        <v>136</v>
      </c>
      <c r="P213" s="1" t="str">
        <f t="shared" si="3"/>
        <v>Low Value</v>
      </c>
    </row>
    <row r="214" spans="1:16" x14ac:dyDescent="0.35">
      <c r="A214" s="3" t="s">
        <v>537</v>
      </c>
      <c r="B214" s="4">
        <v>45762</v>
      </c>
      <c r="C214" s="1" t="s">
        <v>538</v>
      </c>
      <c r="D214" s="1" t="s">
        <v>539</v>
      </c>
      <c r="E214" s="1" t="s">
        <v>111</v>
      </c>
      <c r="F214" s="1" t="s">
        <v>112</v>
      </c>
      <c r="G214" s="1" t="s">
        <v>87</v>
      </c>
      <c r="H214" s="1" t="s">
        <v>88</v>
      </c>
      <c r="I214" s="1" t="s">
        <v>52</v>
      </c>
      <c r="J214" s="1">
        <v>1</v>
      </c>
      <c r="K214" s="2">
        <v>6824</v>
      </c>
      <c r="L214" s="5">
        <v>6824</v>
      </c>
      <c r="M214" s="5">
        <v>1931.71</v>
      </c>
      <c r="N214" s="1" t="s">
        <v>89</v>
      </c>
      <c r="O214" s="1" t="s">
        <v>22</v>
      </c>
      <c r="P214" s="1" t="str">
        <f t="shared" si="3"/>
        <v>Medium Value</v>
      </c>
    </row>
    <row r="215" spans="1:16" x14ac:dyDescent="0.35">
      <c r="A215" s="3" t="s">
        <v>540</v>
      </c>
      <c r="B215" s="4">
        <v>45954</v>
      </c>
      <c r="C215" s="1" t="s">
        <v>466</v>
      </c>
      <c r="D215" s="1" t="s">
        <v>467</v>
      </c>
      <c r="E215" s="1" t="s">
        <v>49</v>
      </c>
      <c r="F215" s="1" t="s">
        <v>49</v>
      </c>
      <c r="G215" s="1" t="s">
        <v>18</v>
      </c>
      <c r="H215" s="1" t="s">
        <v>19</v>
      </c>
      <c r="I215" s="1" t="s">
        <v>20</v>
      </c>
      <c r="J215" s="1">
        <v>4</v>
      </c>
      <c r="K215" s="2">
        <v>3999</v>
      </c>
      <c r="L215" s="5">
        <v>15996</v>
      </c>
      <c r="M215" s="5">
        <v>3256.22</v>
      </c>
      <c r="N215" s="1" t="s">
        <v>45</v>
      </c>
      <c r="O215" s="1" t="s">
        <v>22</v>
      </c>
      <c r="P215" s="1" t="str">
        <f t="shared" si="3"/>
        <v>High Value</v>
      </c>
    </row>
    <row r="216" spans="1:16" x14ac:dyDescent="0.35">
      <c r="A216" s="3" t="s">
        <v>541</v>
      </c>
      <c r="B216" s="4">
        <v>46008</v>
      </c>
      <c r="C216" s="1" t="s">
        <v>204</v>
      </c>
      <c r="D216" s="1" t="s">
        <v>205</v>
      </c>
      <c r="E216" s="1" t="s">
        <v>68</v>
      </c>
      <c r="F216" s="1" t="s">
        <v>69</v>
      </c>
      <c r="G216" s="1" t="s">
        <v>105</v>
      </c>
      <c r="H216" s="1" t="s">
        <v>106</v>
      </c>
      <c r="I216" s="1" t="s">
        <v>107</v>
      </c>
      <c r="J216" s="1">
        <v>8</v>
      </c>
      <c r="K216" s="2">
        <v>999</v>
      </c>
      <c r="L216" s="5">
        <v>7992</v>
      </c>
      <c r="M216" s="5">
        <v>2247.4299999999998</v>
      </c>
      <c r="N216" s="1" t="s">
        <v>59</v>
      </c>
      <c r="O216" s="1" t="s">
        <v>22</v>
      </c>
      <c r="P216" s="1" t="str">
        <f t="shared" si="3"/>
        <v>Medium Value</v>
      </c>
    </row>
    <row r="217" spans="1:16" x14ac:dyDescent="0.35">
      <c r="A217" s="3" t="s">
        <v>542</v>
      </c>
      <c r="B217" s="4">
        <v>45937</v>
      </c>
      <c r="C217" s="1" t="s">
        <v>543</v>
      </c>
      <c r="D217" s="1" t="s">
        <v>484</v>
      </c>
      <c r="E217" s="1" t="s">
        <v>101</v>
      </c>
      <c r="F217" s="1" t="s">
        <v>86</v>
      </c>
      <c r="G217" s="1" t="s">
        <v>254</v>
      </c>
      <c r="H217" s="1" t="s">
        <v>255</v>
      </c>
      <c r="I217" s="1" t="s">
        <v>30</v>
      </c>
      <c r="J217" s="1">
        <v>1</v>
      </c>
      <c r="K217" s="2">
        <v>839</v>
      </c>
      <c r="L217" s="5">
        <v>839</v>
      </c>
      <c r="M217" s="5">
        <v>255.56</v>
      </c>
      <c r="N217" s="1" t="s">
        <v>89</v>
      </c>
      <c r="O217" s="1" t="s">
        <v>53</v>
      </c>
      <c r="P217" s="1" t="str">
        <f t="shared" si="3"/>
        <v>Low Value</v>
      </c>
    </row>
    <row r="218" spans="1:16" x14ac:dyDescent="0.35">
      <c r="A218" s="3" t="s">
        <v>544</v>
      </c>
      <c r="B218" s="4">
        <v>45682</v>
      </c>
      <c r="C218" s="1" t="s">
        <v>545</v>
      </c>
      <c r="D218" s="1" t="s">
        <v>546</v>
      </c>
      <c r="E218" s="1" t="s">
        <v>75</v>
      </c>
      <c r="F218" s="1" t="s">
        <v>76</v>
      </c>
      <c r="G218" s="1" t="s">
        <v>18</v>
      </c>
      <c r="H218" s="1" t="s">
        <v>19</v>
      </c>
      <c r="I218" s="1" t="s">
        <v>20</v>
      </c>
      <c r="J218" s="1">
        <v>4</v>
      </c>
      <c r="K218" s="2">
        <v>3599</v>
      </c>
      <c r="L218" s="5">
        <v>11516.8</v>
      </c>
      <c r="M218" s="5">
        <v>1764.68</v>
      </c>
      <c r="N218" s="1" t="s">
        <v>45</v>
      </c>
      <c r="O218" s="1" t="s">
        <v>22</v>
      </c>
      <c r="P218" s="1" t="str">
        <f t="shared" si="3"/>
        <v>High Value</v>
      </c>
    </row>
    <row r="219" spans="1:16" x14ac:dyDescent="0.35">
      <c r="A219" s="3" t="s">
        <v>547</v>
      </c>
      <c r="B219" s="4">
        <v>45688</v>
      </c>
      <c r="C219" s="1" t="s">
        <v>359</v>
      </c>
      <c r="D219" s="1" t="s">
        <v>360</v>
      </c>
      <c r="E219" s="1" t="s">
        <v>16</v>
      </c>
      <c r="F219" s="1" t="s">
        <v>17</v>
      </c>
      <c r="G219" s="1" t="s">
        <v>105</v>
      </c>
      <c r="H219" s="1" t="s">
        <v>106</v>
      </c>
      <c r="I219" s="1" t="s">
        <v>107</v>
      </c>
      <c r="J219" s="1">
        <v>1</v>
      </c>
      <c r="K219" s="2">
        <v>899</v>
      </c>
      <c r="L219" s="5">
        <v>764.15</v>
      </c>
      <c r="M219" s="5">
        <v>184.44</v>
      </c>
      <c r="N219" s="1" t="s">
        <v>89</v>
      </c>
      <c r="O219" s="1" t="s">
        <v>22</v>
      </c>
      <c r="P219" s="1" t="str">
        <f t="shared" si="3"/>
        <v>Low Value</v>
      </c>
    </row>
    <row r="220" spans="1:16" x14ac:dyDescent="0.35">
      <c r="A220" s="3" t="s">
        <v>548</v>
      </c>
      <c r="B220" s="4">
        <v>45798</v>
      </c>
      <c r="C220" s="1" t="s">
        <v>507</v>
      </c>
      <c r="D220" s="1" t="s">
        <v>508</v>
      </c>
      <c r="E220" s="1" t="s">
        <v>49</v>
      </c>
      <c r="F220" s="1" t="s">
        <v>49</v>
      </c>
      <c r="G220" s="1" t="s">
        <v>63</v>
      </c>
      <c r="H220" s="1" t="s">
        <v>64</v>
      </c>
      <c r="I220" s="1" t="s">
        <v>20</v>
      </c>
      <c r="J220" s="1">
        <v>7</v>
      </c>
      <c r="K220" s="2">
        <v>599</v>
      </c>
      <c r="L220" s="5">
        <v>4193</v>
      </c>
      <c r="M220" s="5">
        <v>1350.02</v>
      </c>
      <c r="N220" s="1" t="s">
        <v>21</v>
      </c>
      <c r="O220" s="1" t="s">
        <v>22</v>
      </c>
      <c r="P220" s="1" t="str">
        <f t="shared" si="3"/>
        <v>Low Value</v>
      </c>
    </row>
    <row r="221" spans="1:16" x14ac:dyDescent="0.35">
      <c r="A221" s="3" t="s">
        <v>549</v>
      </c>
      <c r="B221" s="4">
        <v>45975</v>
      </c>
      <c r="C221" s="1" t="s">
        <v>273</v>
      </c>
      <c r="D221" s="1" t="s">
        <v>274</v>
      </c>
      <c r="E221" s="1" t="s">
        <v>68</v>
      </c>
      <c r="F221" s="1" t="s">
        <v>69</v>
      </c>
      <c r="G221" s="1" t="s">
        <v>95</v>
      </c>
      <c r="H221" s="1" t="s">
        <v>96</v>
      </c>
      <c r="I221" s="1" t="s">
        <v>97</v>
      </c>
      <c r="J221" s="1">
        <v>5</v>
      </c>
      <c r="K221" s="2">
        <v>249</v>
      </c>
      <c r="L221" s="5">
        <v>1245</v>
      </c>
      <c r="M221" s="5">
        <v>251.58</v>
      </c>
      <c r="N221" s="1" t="s">
        <v>113</v>
      </c>
      <c r="O221" s="1" t="s">
        <v>22</v>
      </c>
      <c r="P221" s="1" t="str">
        <f t="shared" si="3"/>
        <v>Low Value</v>
      </c>
    </row>
    <row r="222" spans="1:16" x14ac:dyDescent="0.35">
      <c r="A222" s="3" t="s">
        <v>550</v>
      </c>
      <c r="B222" s="4">
        <v>46014</v>
      </c>
      <c r="C222" s="1" t="s">
        <v>388</v>
      </c>
      <c r="D222" s="1" t="s">
        <v>119</v>
      </c>
      <c r="E222" s="1" t="s">
        <v>49</v>
      </c>
      <c r="F222" s="1" t="s">
        <v>49</v>
      </c>
      <c r="G222" s="1" t="s">
        <v>182</v>
      </c>
      <c r="H222" s="1" t="s">
        <v>183</v>
      </c>
      <c r="I222" s="1" t="s">
        <v>20</v>
      </c>
      <c r="J222" s="1">
        <v>1</v>
      </c>
      <c r="K222" s="2">
        <v>1619</v>
      </c>
      <c r="L222" s="5">
        <v>1457.1</v>
      </c>
      <c r="M222" s="5">
        <v>296.43</v>
      </c>
      <c r="N222" s="1" t="s">
        <v>21</v>
      </c>
      <c r="O222" s="1" t="s">
        <v>22</v>
      </c>
      <c r="P222" s="1" t="str">
        <f t="shared" si="3"/>
        <v>Low Value</v>
      </c>
    </row>
    <row r="223" spans="1:16" x14ac:dyDescent="0.35">
      <c r="A223" s="3" t="s">
        <v>551</v>
      </c>
      <c r="B223" s="4">
        <v>45662</v>
      </c>
      <c r="C223" s="1" t="s">
        <v>291</v>
      </c>
      <c r="D223" s="1" t="s">
        <v>292</v>
      </c>
      <c r="E223" s="1" t="s">
        <v>101</v>
      </c>
      <c r="F223" s="1" t="s">
        <v>86</v>
      </c>
      <c r="G223" s="1" t="s">
        <v>182</v>
      </c>
      <c r="H223" s="1" t="s">
        <v>183</v>
      </c>
      <c r="I223" s="1" t="s">
        <v>20</v>
      </c>
      <c r="J223" s="1">
        <v>8</v>
      </c>
      <c r="K223" s="2">
        <v>1799</v>
      </c>
      <c r="L223" s="5">
        <v>11513.6</v>
      </c>
      <c r="M223" s="5">
        <v>3368.45</v>
      </c>
      <c r="N223" s="1" t="s">
        <v>21</v>
      </c>
      <c r="O223" s="1" t="s">
        <v>22</v>
      </c>
      <c r="P223" s="1" t="str">
        <f t="shared" si="3"/>
        <v>High Value</v>
      </c>
    </row>
    <row r="224" spans="1:16" x14ac:dyDescent="0.35">
      <c r="A224" s="3" t="s">
        <v>552</v>
      </c>
      <c r="B224" s="4">
        <v>45928</v>
      </c>
      <c r="C224" s="1" t="s">
        <v>185</v>
      </c>
      <c r="D224" s="1" t="s">
        <v>186</v>
      </c>
      <c r="E224" s="1" t="s">
        <v>141</v>
      </c>
      <c r="F224" s="1" t="s">
        <v>69</v>
      </c>
      <c r="G224" s="1" t="s">
        <v>161</v>
      </c>
      <c r="H224" s="1" t="s">
        <v>162</v>
      </c>
      <c r="I224" s="1" t="s">
        <v>37</v>
      </c>
      <c r="J224" s="1">
        <v>8</v>
      </c>
      <c r="K224" s="2">
        <v>2299</v>
      </c>
      <c r="L224" s="5">
        <v>18392</v>
      </c>
      <c r="M224" s="5">
        <v>5946.41</v>
      </c>
      <c r="N224" s="1" t="s">
        <v>59</v>
      </c>
      <c r="O224" s="1" t="s">
        <v>90</v>
      </c>
      <c r="P224" s="1" t="str">
        <f t="shared" si="3"/>
        <v>High Value</v>
      </c>
    </row>
    <row r="225" spans="1:16" x14ac:dyDescent="0.35">
      <c r="A225" s="3" t="s">
        <v>553</v>
      </c>
      <c r="B225" s="4">
        <v>45994</v>
      </c>
      <c r="C225" s="1" t="s">
        <v>518</v>
      </c>
      <c r="D225" s="1" t="s">
        <v>519</v>
      </c>
      <c r="E225" s="1" t="s">
        <v>101</v>
      </c>
      <c r="F225" s="1" t="s">
        <v>86</v>
      </c>
      <c r="G225" s="1" t="s">
        <v>42</v>
      </c>
      <c r="H225" s="1" t="s">
        <v>43</v>
      </c>
      <c r="I225" s="1" t="s">
        <v>44</v>
      </c>
      <c r="J225" s="1">
        <v>1</v>
      </c>
      <c r="K225" s="2">
        <v>899</v>
      </c>
      <c r="L225" s="5">
        <v>764.15</v>
      </c>
      <c r="M225" s="5">
        <v>115.94</v>
      </c>
      <c r="N225" s="1" t="s">
        <v>113</v>
      </c>
      <c r="O225" s="1" t="s">
        <v>90</v>
      </c>
      <c r="P225" s="1" t="str">
        <f t="shared" si="3"/>
        <v>Low Value</v>
      </c>
    </row>
    <row r="226" spans="1:16" x14ac:dyDescent="0.35">
      <c r="A226" s="3" t="s">
        <v>554</v>
      </c>
      <c r="B226" s="4">
        <v>45741</v>
      </c>
      <c r="C226" s="1" t="s">
        <v>555</v>
      </c>
      <c r="D226" s="1" t="s">
        <v>453</v>
      </c>
      <c r="E226" s="1" t="s">
        <v>141</v>
      </c>
      <c r="F226" s="1" t="s">
        <v>69</v>
      </c>
      <c r="G226" s="1" t="s">
        <v>28</v>
      </c>
      <c r="H226" s="1" t="s">
        <v>29</v>
      </c>
      <c r="I226" s="1" t="s">
        <v>30</v>
      </c>
      <c r="J226" s="1">
        <v>7</v>
      </c>
      <c r="K226" s="2">
        <v>1759</v>
      </c>
      <c r="L226" s="5">
        <v>10466.049999999999</v>
      </c>
      <c r="M226" s="5">
        <v>2019.74</v>
      </c>
      <c r="N226" s="1" t="s">
        <v>45</v>
      </c>
      <c r="O226" s="1" t="s">
        <v>136</v>
      </c>
      <c r="P226" s="1" t="str">
        <f t="shared" si="3"/>
        <v>High Value</v>
      </c>
    </row>
    <row r="227" spans="1:16" x14ac:dyDescent="0.35">
      <c r="A227" s="3" t="s">
        <v>556</v>
      </c>
      <c r="B227" s="4">
        <v>45698</v>
      </c>
      <c r="C227" s="1" t="s">
        <v>557</v>
      </c>
      <c r="D227" s="1" t="s">
        <v>558</v>
      </c>
      <c r="E227" s="1" t="s">
        <v>312</v>
      </c>
      <c r="F227" s="1" t="s">
        <v>112</v>
      </c>
      <c r="G227" s="1" t="s">
        <v>177</v>
      </c>
      <c r="H227" s="1" t="s">
        <v>178</v>
      </c>
      <c r="I227" s="1" t="s">
        <v>20</v>
      </c>
      <c r="J227" s="1">
        <v>2</v>
      </c>
      <c r="K227" s="2">
        <v>2499</v>
      </c>
      <c r="L227" s="5">
        <v>4998</v>
      </c>
      <c r="M227" s="5">
        <v>1521.93</v>
      </c>
      <c r="N227" s="1" t="s">
        <v>59</v>
      </c>
      <c r="O227" s="1" t="s">
        <v>22</v>
      </c>
      <c r="P227" s="1" t="str">
        <f t="shared" si="3"/>
        <v>Low Value</v>
      </c>
    </row>
    <row r="228" spans="1:16" x14ac:dyDescent="0.35">
      <c r="A228" s="3" t="s">
        <v>559</v>
      </c>
      <c r="B228" s="4">
        <v>45962</v>
      </c>
      <c r="C228" s="1" t="s">
        <v>399</v>
      </c>
      <c r="D228" s="1" t="s">
        <v>400</v>
      </c>
      <c r="E228" s="1" t="s">
        <v>111</v>
      </c>
      <c r="F228" s="1" t="s">
        <v>112</v>
      </c>
      <c r="G228" s="1" t="s">
        <v>63</v>
      </c>
      <c r="H228" s="1" t="s">
        <v>64</v>
      </c>
      <c r="I228" s="1" t="s">
        <v>20</v>
      </c>
      <c r="J228" s="1">
        <v>5</v>
      </c>
      <c r="K228" s="2">
        <v>599</v>
      </c>
      <c r="L228" s="5">
        <v>2695.5</v>
      </c>
      <c r="M228" s="5">
        <v>458.75</v>
      </c>
      <c r="N228" s="1" t="s">
        <v>21</v>
      </c>
      <c r="O228" s="1" t="s">
        <v>53</v>
      </c>
      <c r="P228" s="1" t="str">
        <f t="shared" si="3"/>
        <v>Low Value</v>
      </c>
    </row>
    <row r="229" spans="1:16" x14ac:dyDescent="0.35">
      <c r="A229" s="3" t="s">
        <v>560</v>
      </c>
      <c r="B229" s="4">
        <v>45753</v>
      </c>
      <c r="C229" s="1" t="s">
        <v>296</v>
      </c>
      <c r="D229" s="1" t="s">
        <v>297</v>
      </c>
      <c r="E229" s="1" t="s">
        <v>145</v>
      </c>
      <c r="F229" s="1" t="s">
        <v>0</v>
      </c>
      <c r="G229" s="1" t="s">
        <v>182</v>
      </c>
      <c r="H229" s="1" t="s">
        <v>183</v>
      </c>
      <c r="I229" s="1" t="s">
        <v>20</v>
      </c>
      <c r="J229" s="1">
        <v>5</v>
      </c>
      <c r="K229" s="2">
        <v>1799</v>
      </c>
      <c r="L229" s="5">
        <v>7196</v>
      </c>
      <c r="M229" s="5">
        <v>979.89</v>
      </c>
      <c r="N229" s="1" t="s">
        <v>59</v>
      </c>
      <c r="O229" s="1" t="s">
        <v>22</v>
      </c>
      <c r="P229" s="1" t="str">
        <f t="shared" si="3"/>
        <v>Medium Value</v>
      </c>
    </row>
    <row r="230" spans="1:16" x14ac:dyDescent="0.35">
      <c r="A230" s="3" t="s">
        <v>561</v>
      </c>
      <c r="B230" s="4">
        <v>45982</v>
      </c>
      <c r="C230" s="1" t="s">
        <v>66</v>
      </c>
      <c r="D230" s="1" t="s">
        <v>67</v>
      </c>
      <c r="E230" s="1" t="s">
        <v>145</v>
      </c>
      <c r="F230" s="1" t="s">
        <v>0</v>
      </c>
      <c r="G230" s="1" t="s">
        <v>42</v>
      </c>
      <c r="H230" s="1" t="s">
        <v>43</v>
      </c>
      <c r="I230" s="1" t="s">
        <v>44</v>
      </c>
      <c r="J230" s="1">
        <v>6</v>
      </c>
      <c r="K230" s="2">
        <v>809</v>
      </c>
      <c r="L230" s="5">
        <v>4854</v>
      </c>
      <c r="M230" s="5">
        <v>588.03</v>
      </c>
      <c r="N230" s="1" t="s">
        <v>59</v>
      </c>
      <c r="O230" s="1" t="s">
        <v>22</v>
      </c>
      <c r="P230" s="1" t="str">
        <f t="shared" si="3"/>
        <v>Low Value</v>
      </c>
    </row>
    <row r="231" spans="1:16" x14ac:dyDescent="0.35">
      <c r="A231" s="3" t="s">
        <v>562</v>
      </c>
      <c r="B231" s="4">
        <v>45710</v>
      </c>
      <c r="C231" s="1" t="s">
        <v>338</v>
      </c>
      <c r="D231" s="1" t="s">
        <v>339</v>
      </c>
      <c r="E231" s="1" t="s">
        <v>34</v>
      </c>
      <c r="F231" s="1" t="s">
        <v>27</v>
      </c>
      <c r="G231" s="1" t="s">
        <v>198</v>
      </c>
      <c r="H231" s="1" t="s">
        <v>199</v>
      </c>
      <c r="I231" s="1" t="s">
        <v>37</v>
      </c>
      <c r="J231" s="1">
        <v>7</v>
      </c>
      <c r="K231" s="2">
        <v>699</v>
      </c>
      <c r="L231" s="5">
        <v>4159.05</v>
      </c>
      <c r="M231" s="5">
        <v>1006.67</v>
      </c>
      <c r="N231" s="1" t="s">
        <v>113</v>
      </c>
      <c r="O231" s="1" t="s">
        <v>22</v>
      </c>
      <c r="P231" s="1" t="str">
        <f t="shared" si="3"/>
        <v>Low Value</v>
      </c>
    </row>
    <row r="232" spans="1:16" x14ac:dyDescent="0.35">
      <c r="A232" s="3" t="s">
        <v>563</v>
      </c>
      <c r="B232" s="4">
        <v>45839</v>
      </c>
      <c r="C232" s="1" t="s">
        <v>83</v>
      </c>
      <c r="D232" s="1" t="s">
        <v>84</v>
      </c>
      <c r="E232" s="1" t="s">
        <v>34</v>
      </c>
      <c r="F232" s="1" t="s">
        <v>27</v>
      </c>
      <c r="G232" s="1" t="s">
        <v>131</v>
      </c>
      <c r="H232" s="1" t="s">
        <v>132</v>
      </c>
      <c r="I232" s="1" t="s">
        <v>44</v>
      </c>
      <c r="J232" s="1">
        <v>6</v>
      </c>
      <c r="K232" s="2">
        <v>549</v>
      </c>
      <c r="L232" s="5">
        <v>3294</v>
      </c>
      <c r="M232" s="5">
        <v>606.78</v>
      </c>
      <c r="N232" s="1" t="s">
        <v>113</v>
      </c>
      <c r="O232" s="1" t="s">
        <v>136</v>
      </c>
      <c r="P232" s="1" t="str">
        <f t="shared" si="3"/>
        <v>Low Value</v>
      </c>
    </row>
    <row r="233" spans="1:16" x14ac:dyDescent="0.35">
      <c r="A233" s="3" t="s">
        <v>564</v>
      </c>
      <c r="B233" s="4">
        <v>45944</v>
      </c>
      <c r="C233" s="1" t="s">
        <v>283</v>
      </c>
      <c r="D233" s="1" t="s">
        <v>284</v>
      </c>
      <c r="E233" s="1" t="s">
        <v>41</v>
      </c>
      <c r="F233" s="1" t="s">
        <v>17</v>
      </c>
      <c r="G233" s="1" t="s">
        <v>198</v>
      </c>
      <c r="H233" s="1" t="s">
        <v>199</v>
      </c>
      <c r="I233" s="1" t="s">
        <v>37</v>
      </c>
      <c r="J233" s="1">
        <v>7</v>
      </c>
      <c r="K233" s="2">
        <v>699</v>
      </c>
      <c r="L233" s="5">
        <v>4893</v>
      </c>
      <c r="M233" s="5">
        <v>876.64</v>
      </c>
      <c r="N233" s="1" t="s">
        <v>59</v>
      </c>
      <c r="O233" s="1" t="s">
        <v>22</v>
      </c>
      <c r="P233" s="1" t="str">
        <f t="shared" si="3"/>
        <v>Low Value</v>
      </c>
    </row>
    <row r="234" spans="1:16" x14ac:dyDescent="0.35">
      <c r="A234" s="3" t="s">
        <v>565</v>
      </c>
      <c r="B234" s="4">
        <v>45743</v>
      </c>
      <c r="C234" s="1" t="s">
        <v>118</v>
      </c>
      <c r="D234" s="1" t="s">
        <v>119</v>
      </c>
      <c r="E234" s="1" t="s">
        <v>68</v>
      </c>
      <c r="F234" s="1" t="s">
        <v>69</v>
      </c>
      <c r="G234" s="1" t="s">
        <v>87</v>
      </c>
      <c r="H234" s="1" t="s">
        <v>88</v>
      </c>
      <c r="I234" s="1" t="s">
        <v>52</v>
      </c>
      <c r="J234" s="1">
        <v>5</v>
      </c>
      <c r="K234" s="2">
        <v>6499</v>
      </c>
      <c r="L234" s="5">
        <v>32495</v>
      </c>
      <c r="M234" s="5">
        <v>6481.05</v>
      </c>
      <c r="N234" s="1" t="s">
        <v>45</v>
      </c>
      <c r="O234" s="1" t="s">
        <v>22</v>
      </c>
      <c r="P234" s="1" t="str">
        <f t="shared" si="3"/>
        <v>High Value</v>
      </c>
    </row>
    <row r="235" spans="1:16" x14ac:dyDescent="0.35">
      <c r="A235" s="3" t="s">
        <v>566</v>
      </c>
      <c r="B235" s="4">
        <v>45962</v>
      </c>
      <c r="C235" s="1" t="s">
        <v>404</v>
      </c>
      <c r="D235" s="1" t="s">
        <v>405</v>
      </c>
      <c r="E235" s="1" t="s">
        <v>236</v>
      </c>
      <c r="F235" s="1" t="s">
        <v>86</v>
      </c>
      <c r="G235" s="1" t="s">
        <v>50</v>
      </c>
      <c r="H235" s="1" t="s">
        <v>51</v>
      </c>
      <c r="I235" s="1" t="s">
        <v>52</v>
      </c>
      <c r="J235" s="1">
        <v>2</v>
      </c>
      <c r="K235" s="2">
        <v>7999</v>
      </c>
      <c r="L235" s="5">
        <v>15198.1</v>
      </c>
      <c r="M235" s="5">
        <v>1846.4</v>
      </c>
      <c r="N235" s="1" t="s">
        <v>113</v>
      </c>
      <c r="O235" s="1" t="s">
        <v>22</v>
      </c>
      <c r="P235" s="1" t="str">
        <f t="shared" si="3"/>
        <v>High Value</v>
      </c>
    </row>
    <row r="236" spans="1:16" x14ac:dyDescent="0.35">
      <c r="A236" s="3" t="s">
        <v>567</v>
      </c>
      <c r="B236" s="4">
        <v>45852</v>
      </c>
      <c r="C236" s="1" t="s">
        <v>419</v>
      </c>
      <c r="D236" s="1" t="s">
        <v>420</v>
      </c>
      <c r="E236" s="1" t="s">
        <v>172</v>
      </c>
      <c r="F236" s="1" t="s">
        <v>173</v>
      </c>
      <c r="G236" s="1" t="s">
        <v>42</v>
      </c>
      <c r="H236" s="1" t="s">
        <v>43</v>
      </c>
      <c r="I236" s="1" t="s">
        <v>44</v>
      </c>
      <c r="J236" s="1">
        <v>7</v>
      </c>
      <c r="K236" s="2">
        <v>989</v>
      </c>
      <c r="L236" s="5">
        <v>5884.55</v>
      </c>
      <c r="M236" s="5">
        <v>882.37</v>
      </c>
      <c r="N236" s="1" t="s">
        <v>59</v>
      </c>
      <c r="O236" s="1" t="s">
        <v>22</v>
      </c>
      <c r="P236" s="1" t="str">
        <f t="shared" si="3"/>
        <v>Medium Value</v>
      </c>
    </row>
    <row r="237" spans="1:16" x14ac:dyDescent="0.35">
      <c r="A237" s="3" t="s">
        <v>568</v>
      </c>
      <c r="B237" s="4">
        <v>45760</v>
      </c>
      <c r="C237" s="1" t="s">
        <v>534</v>
      </c>
      <c r="D237" s="1" t="s">
        <v>528</v>
      </c>
      <c r="E237" s="1" t="s">
        <v>111</v>
      </c>
      <c r="F237" s="1" t="s">
        <v>112</v>
      </c>
      <c r="G237" s="1" t="s">
        <v>198</v>
      </c>
      <c r="H237" s="1" t="s">
        <v>199</v>
      </c>
      <c r="I237" s="1" t="s">
        <v>37</v>
      </c>
      <c r="J237" s="1">
        <v>7</v>
      </c>
      <c r="K237" s="2">
        <v>699</v>
      </c>
      <c r="L237" s="5">
        <v>4648.3500000000004</v>
      </c>
      <c r="M237" s="5">
        <v>1309.31</v>
      </c>
      <c r="N237" s="1" t="s">
        <v>113</v>
      </c>
      <c r="O237" s="1" t="s">
        <v>53</v>
      </c>
      <c r="P237" s="1" t="str">
        <f t="shared" si="3"/>
        <v>Low Value</v>
      </c>
    </row>
    <row r="238" spans="1:16" x14ac:dyDescent="0.35">
      <c r="A238" s="3" t="s">
        <v>569</v>
      </c>
      <c r="B238" s="4">
        <v>45824</v>
      </c>
      <c r="C238" s="1" t="s">
        <v>349</v>
      </c>
      <c r="D238" s="1" t="s">
        <v>350</v>
      </c>
      <c r="E238" s="1" t="s">
        <v>68</v>
      </c>
      <c r="F238" s="1" t="s">
        <v>69</v>
      </c>
      <c r="G238" s="1" t="s">
        <v>262</v>
      </c>
      <c r="H238" s="1" t="s">
        <v>263</v>
      </c>
      <c r="I238" s="1" t="s">
        <v>97</v>
      </c>
      <c r="J238" s="1">
        <v>6</v>
      </c>
      <c r="K238" s="2">
        <v>134</v>
      </c>
      <c r="L238" s="5">
        <v>683.4</v>
      </c>
      <c r="M238" s="5">
        <v>112.05</v>
      </c>
      <c r="N238" s="1" t="s">
        <v>21</v>
      </c>
      <c r="O238" s="1" t="s">
        <v>22</v>
      </c>
      <c r="P238" s="1" t="str">
        <f t="shared" si="3"/>
        <v>Low Value</v>
      </c>
    </row>
    <row r="239" spans="1:16" x14ac:dyDescent="0.35">
      <c r="A239" s="3" t="s">
        <v>570</v>
      </c>
      <c r="B239" s="4">
        <v>45671</v>
      </c>
      <c r="C239" s="1" t="s">
        <v>175</v>
      </c>
      <c r="D239" s="1" t="s">
        <v>176</v>
      </c>
      <c r="E239" s="1" t="s">
        <v>236</v>
      </c>
      <c r="F239" s="1" t="s">
        <v>86</v>
      </c>
      <c r="G239" s="1" t="s">
        <v>50</v>
      </c>
      <c r="H239" s="1" t="s">
        <v>51</v>
      </c>
      <c r="I239" s="1" t="s">
        <v>52</v>
      </c>
      <c r="J239" s="1">
        <v>5</v>
      </c>
      <c r="K239" s="2">
        <v>8799</v>
      </c>
      <c r="L239" s="5">
        <v>43995</v>
      </c>
      <c r="M239" s="5">
        <v>13206.09</v>
      </c>
      <c r="N239" s="1" t="s">
        <v>113</v>
      </c>
      <c r="O239" s="1" t="s">
        <v>22</v>
      </c>
      <c r="P239" s="1" t="str">
        <f t="shared" si="3"/>
        <v>High Value</v>
      </c>
    </row>
    <row r="240" spans="1:16" x14ac:dyDescent="0.35">
      <c r="A240" s="3" t="s">
        <v>571</v>
      </c>
      <c r="B240" s="4">
        <v>45982</v>
      </c>
      <c r="C240" s="1" t="s">
        <v>61</v>
      </c>
      <c r="D240" s="1" t="s">
        <v>62</v>
      </c>
      <c r="E240" s="1" t="s">
        <v>141</v>
      </c>
      <c r="F240" s="1" t="s">
        <v>69</v>
      </c>
      <c r="G240" s="1" t="s">
        <v>57</v>
      </c>
      <c r="H240" s="1" t="s">
        <v>58</v>
      </c>
      <c r="I240" s="1" t="s">
        <v>44</v>
      </c>
      <c r="J240" s="1">
        <v>3</v>
      </c>
      <c r="K240" s="2">
        <v>439</v>
      </c>
      <c r="L240" s="5">
        <v>1185.3</v>
      </c>
      <c r="M240" s="5">
        <v>348</v>
      </c>
      <c r="N240" s="1" t="s">
        <v>89</v>
      </c>
      <c r="O240" s="1" t="s">
        <v>22</v>
      </c>
      <c r="P240" s="1" t="str">
        <f t="shared" si="3"/>
        <v>Low Value</v>
      </c>
    </row>
    <row r="241" spans="1:16" x14ac:dyDescent="0.35">
      <c r="A241" s="3" t="s">
        <v>572</v>
      </c>
      <c r="B241" s="4">
        <v>45903</v>
      </c>
      <c r="C241" s="1" t="s">
        <v>286</v>
      </c>
      <c r="D241" s="1" t="s">
        <v>287</v>
      </c>
      <c r="E241" s="1" t="s">
        <v>145</v>
      </c>
      <c r="F241" s="1" t="s">
        <v>0</v>
      </c>
      <c r="G241" s="1" t="s">
        <v>254</v>
      </c>
      <c r="H241" s="1" t="s">
        <v>255</v>
      </c>
      <c r="I241" s="1" t="s">
        <v>30</v>
      </c>
      <c r="J241" s="1">
        <v>7</v>
      </c>
      <c r="K241" s="2">
        <v>839</v>
      </c>
      <c r="L241" s="5">
        <v>5873</v>
      </c>
      <c r="M241" s="5">
        <v>1726.42</v>
      </c>
      <c r="N241" s="1" t="s">
        <v>59</v>
      </c>
      <c r="O241" s="1" t="s">
        <v>22</v>
      </c>
      <c r="P241" s="1" t="str">
        <f t="shared" si="3"/>
        <v>Medium Value</v>
      </c>
    </row>
    <row r="242" spans="1:16" x14ac:dyDescent="0.35">
      <c r="A242" s="3" t="s">
        <v>573</v>
      </c>
      <c r="B242" s="4">
        <v>45962</v>
      </c>
      <c r="C242" s="1" t="s">
        <v>315</v>
      </c>
      <c r="D242" s="1" t="s">
        <v>316</v>
      </c>
      <c r="E242" s="1" t="s">
        <v>34</v>
      </c>
      <c r="F242" s="1" t="s">
        <v>27</v>
      </c>
      <c r="G242" s="1" t="s">
        <v>120</v>
      </c>
      <c r="H242" s="1" t="s">
        <v>121</v>
      </c>
      <c r="I242" s="1" t="s">
        <v>20</v>
      </c>
      <c r="J242" s="1">
        <v>4</v>
      </c>
      <c r="K242" s="2">
        <v>1649</v>
      </c>
      <c r="L242" s="5">
        <v>5276.8</v>
      </c>
      <c r="M242" s="5">
        <v>1045.3399999999999</v>
      </c>
      <c r="N242" s="1" t="s">
        <v>21</v>
      </c>
      <c r="O242" s="1" t="s">
        <v>22</v>
      </c>
      <c r="P242" s="1" t="str">
        <f t="shared" si="3"/>
        <v>Medium Value</v>
      </c>
    </row>
    <row r="243" spans="1:16" x14ac:dyDescent="0.35">
      <c r="A243" s="3" t="s">
        <v>574</v>
      </c>
      <c r="B243" s="4">
        <v>46004</v>
      </c>
      <c r="C243" s="1" t="s">
        <v>47</v>
      </c>
      <c r="D243" s="1" t="s">
        <v>48</v>
      </c>
      <c r="E243" s="1" t="s">
        <v>145</v>
      </c>
      <c r="F243" s="1" t="s">
        <v>0</v>
      </c>
      <c r="G243" s="1" t="s">
        <v>42</v>
      </c>
      <c r="H243" s="1" t="s">
        <v>43</v>
      </c>
      <c r="I243" s="1" t="s">
        <v>44</v>
      </c>
      <c r="J243" s="1">
        <v>7</v>
      </c>
      <c r="K243" s="2">
        <v>809</v>
      </c>
      <c r="L243" s="5">
        <v>5663</v>
      </c>
      <c r="M243" s="5">
        <v>802.41</v>
      </c>
      <c r="N243" s="1" t="s">
        <v>45</v>
      </c>
      <c r="O243" s="1" t="s">
        <v>22</v>
      </c>
      <c r="P243" s="1" t="str">
        <f t="shared" si="3"/>
        <v>Medium Value</v>
      </c>
    </row>
    <row r="244" spans="1:16" x14ac:dyDescent="0.35">
      <c r="A244" s="3" t="s">
        <v>575</v>
      </c>
      <c r="B244" s="4">
        <v>45943</v>
      </c>
      <c r="C244" s="1" t="s">
        <v>444</v>
      </c>
      <c r="D244" s="1" t="s">
        <v>445</v>
      </c>
      <c r="E244" s="1" t="s">
        <v>141</v>
      </c>
      <c r="F244" s="1" t="s">
        <v>69</v>
      </c>
      <c r="G244" s="1" t="s">
        <v>50</v>
      </c>
      <c r="H244" s="1" t="s">
        <v>51</v>
      </c>
      <c r="I244" s="1" t="s">
        <v>52</v>
      </c>
      <c r="J244" s="1">
        <v>6</v>
      </c>
      <c r="K244" s="2">
        <v>7999</v>
      </c>
      <c r="L244" s="5">
        <v>43194.6</v>
      </c>
      <c r="M244" s="5">
        <v>12522.78</v>
      </c>
      <c r="N244" s="1" t="s">
        <v>21</v>
      </c>
      <c r="O244" s="1" t="s">
        <v>22</v>
      </c>
      <c r="P244" s="1" t="str">
        <f t="shared" si="3"/>
        <v>High Value</v>
      </c>
    </row>
    <row r="245" spans="1:16" x14ac:dyDescent="0.35">
      <c r="A245" s="3" t="s">
        <v>576</v>
      </c>
      <c r="B245" s="4">
        <v>45834</v>
      </c>
      <c r="C245" s="1" t="s">
        <v>99</v>
      </c>
      <c r="D245" s="1" t="s">
        <v>100</v>
      </c>
      <c r="E245" s="1" t="s">
        <v>16</v>
      </c>
      <c r="F245" s="1" t="s">
        <v>17</v>
      </c>
      <c r="G245" s="1" t="s">
        <v>120</v>
      </c>
      <c r="H245" s="1" t="s">
        <v>121</v>
      </c>
      <c r="I245" s="1" t="s">
        <v>20</v>
      </c>
      <c r="J245" s="1">
        <v>5</v>
      </c>
      <c r="K245" s="2">
        <v>1499</v>
      </c>
      <c r="L245" s="5">
        <v>7495</v>
      </c>
      <c r="M245" s="5">
        <v>1090.79</v>
      </c>
      <c r="N245" s="1" t="s">
        <v>45</v>
      </c>
      <c r="O245" s="1" t="s">
        <v>22</v>
      </c>
      <c r="P245" s="1" t="str">
        <f t="shared" si="3"/>
        <v>Medium Value</v>
      </c>
    </row>
    <row r="246" spans="1:16" x14ac:dyDescent="0.35">
      <c r="A246" s="3" t="s">
        <v>577</v>
      </c>
      <c r="B246" s="4">
        <v>45891</v>
      </c>
      <c r="C246" s="1" t="s">
        <v>578</v>
      </c>
      <c r="D246" s="1" t="s">
        <v>579</v>
      </c>
      <c r="E246" s="1" t="s">
        <v>41</v>
      </c>
      <c r="F246" s="1" t="s">
        <v>17</v>
      </c>
      <c r="G246" s="1" t="s">
        <v>105</v>
      </c>
      <c r="H246" s="1" t="s">
        <v>106</v>
      </c>
      <c r="I246" s="1" t="s">
        <v>107</v>
      </c>
      <c r="J246" s="1">
        <v>6</v>
      </c>
      <c r="K246" s="2">
        <v>999</v>
      </c>
      <c r="L246" s="5">
        <v>5994</v>
      </c>
      <c r="M246" s="5">
        <v>1297.08</v>
      </c>
      <c r="N246" s="1" t="s">
        <v>113</v>
      </c>
      <c r="O246" s="1" t="s">
        <v>22</v>
      </c>
      <c r="P246" s="1" t="str">
        <f t="shared" si="3"/>
        <v>Medium Value</v>
      </c>
    </row>
    <row r="247" spans="1:16" x14ac:dyDescent="0.35">
      <c r="A247" s="3" t="s">
        <v>580</v>
      </c>
      <c r="B247" s="4">
        <v>45680</v>
      </c>
      <c r="C247" s="1" t="s">
        <v>581</v>
      </c>
      <c r="D247" s="1" t="s">
        <v>582</v>
      </c>
      <c r="E247" s="1" t="s">
        <v>166</v>
      </c>
      <c r="F247" s="1" t="s">
        <v>27</v>
      </c>
      <c r="G247" s="1" t="s">
        <v>42</v>
      </c>
      <c r="H247" s="1" t="s">
        <v>43</v>
      </c>
      <c r="I247" s="1" t="s">
        <v>44</v>
      </c>
      <c r="J247" s="1">
        <v>2</v>
      </c>
      <c r="K247" s="2">
        <v>989</v>
      </c>
      <c r="L247" s="5">
        <v>1978</v>
      </c>
      <c r="M247" s="5">
        <v>642.03</v>
      </c>
      <c r="N247" s="1" t="s">
        <v>45</v>
      </c>
      <c r="O247" s="1" t="s">
        <v>22</v>
      </c>
      <c r="P247" s="1" t="str">
        <f t="shared" si="3"/>
        <v>Low Value</v>
      </c>
    </row>
    <row r="248" spans="1:16" x14ac:dyDescent="0.35">
      <c r="A248" s="3" t="s">
        <v>583</v>
      </c>
      <c r="B248" s="4">
        <v>45739</v>
      </c>
      <c r="C248" s="1" t="s">
        <v>419</v>
      </c>
      <c r="D248" s="1" t="s">
        <v>420</v>
      </c>
      <c r="E248" s="1" t="s">
        <v>80</v>
      </c>
      <c r="F248" s="1" t="s">
        <v>81</v>
      </c>
      <c r="G248" s="1" t="s">
        <v>87</v>
      </c>
      <c r="H248" s="1" t="s">
        <v>88</v>
      </c>
      <c r="I248" s="1" t="s">
        <v>52</v>
      </c>
      <c r="J248" s="1">
        <v>8</v>
      </c>
      <c r="K248" s="2">
        <v>6499</v>
      </c>
      <c r="L248" s="5">
        <v>46792.800000000003</v>
      </c>
      <c r="M248" s="5">
        <v>12098.15</v>
      </c>
      <c r="N248" s="1" t="s">
        <v>45</v>
      </c>
      <c r="O248" s="1" t="s">
        <v>22</v>
      </c>
      <c r="P248" s="1" t="str">
        <f t="shared" si="3"/>
        <v>High Value</v>
      </c>
    </row>
    <row r="249" spans="1:16" x14ac:dyDescent="0.35">
      <c r="A249" s="3" t="s">
        <v>584</v>
      </c>
      <c r="B249" s="4">
        <v>45860</v>
      </c>
      <c r="C249" s="1" t="s">
        <v>115</v>
      </c>
      <c r="D249" s="1" t="s">
        <v>116</v>
      </c>
      <c r="E249" s="1" t="s">
        <v>236</v>
      </c>
      <c r="F249" s="1" t="s">
        <v>86</v>
      </c>
      <c r="G249" s="1" t="s">
        <v>50</v>
      </c>
      <c r="H249" s="1" t="s">
        <v>51</v>
      </c>
      <c r="I249" s="1" t="s">
        <v>52</v>
      </c>
      <c r="J249" s="1">
        <v>7</v>
      </c>
      <c r="K249" s="2">
        <v>7999</v>
      </c>
      <c r="L249" s="5">
        <v>55993</v>
      </c>
      <c r="M249" s="5">
        <v>15400.42</v>
      </c>
      <c r="N249" s="1" t="s">
        <v>45</v>
      </c>
      <c r="O249" s="1" t="s">
        <v>22</v>
      </c>
      <c r="P249" s="1" t="str">
        <f t="shared" si="3"/>
        <v>High Value</v>
      </c>
    </row>
    <row r="250" spans="1:16" x14ac:dyDescent="0.35">
      <c r="A250" s="3" t="s">
        <v>585</v>
      </c>
      <c r="B250" s="4">
        <v>45690</v>
      </c>
      <c r="C250" s="1" t="s">
        <v>523</v>
      </c>
      <c r="D250" s="1" t="s">
        <v>306</v>
      </c>
      <c r="E250" s="1" t="s">
        <v>94</v>
      </c>
      <c r="F250" s="1" t="s">
        <v>27</v>
      </c>
      <c r="G250" s="1" t="s">
        <v>254</v>
      </c>
      <c r="H250" s="1" t="s">
        <v>255</v>
      </c>
      <c r="I250" s="1" t="s">
        <v>30</v>
      </c>
      <c r="J250" s="1">
        <v>3</v>
      </c>
      <c r="K250" s="2">
        <v>799</v>
      </c>
      <c r="L250" s="5">
        <v>2277.15</v>
      </c>
      <c r="M250" s="5">
        <v>371.99</v>
      </c>
      <c r="N250" s="1" t="s">
        <v>89</v>
      </c>
      <c r="O250" s="1" t="s">
        <v>22</v>
      </c>
      <c r="P250" s="1" t="str">
        <f t="shared" si="3"/>
        <v>Low Value</v>
      </c>
    </row>
    <row r="251" spans="1:16" x14ac:dyDescent="0.35">
      <c r="A251" s="3" t="s">
        <v>586</v>
      </c>
      <c r="B251" s="4">
        <v>45928</v>
      </c>
      <c r="C251" s="1" t="s">
        <v>315</v>
      </c>
      <c r="D251" s="1" t="s">
        <v>316</v>
      </c>
      <c r="E251" s="1" t="s">
        <v>111</v>
      </c>
      <c r="F251" s="1" t="s">
        <v>112</v>
      </c>
      <c r="G251" s="1" t="s">
        <v>131</v>
      </c>
      <c r="H251" s="1" t="s">
        <v>132</v>
      </c>
      <c r="I251" s="1" t="s">
        <v>44</v>
      </c>
      <c r="J251" s="1">
        <v>7</v>
      </c>
      <c r="K251" s="2">
        <v>576</v>
      </c>
      <c r="L251" s="5">
        <v>3628.8</v>
      </c>
      <c r="M251" s="5">
        <v>904.08</v>
      </c>
      <c r="N251" s="1" t="s">
        <v>59</v>
      </c>
      <c r="O251" s="1" t="s">
        <v>22</v>
      </c>
      <c r="P251" s="1" t="str">
        <f t="shared" si="3"/>
        <v>Low Value</v>
      </c>
    </row>
    <row r="252" spans="1:16" x14ac:dyDescent="0.35">
      <c r="A252" s="3" t="s">
        <v>587</v>
      </c>
      <c r="B252" s="4">
        <v>45974</v>
      </c>
      <c r="C252" s="1" t="s">
        <v>321</v>
      </c>
      <c r="D252" s="1" t="s">
        <v>322</v>
      </c>
      <c r="E252" s="1" t="s">
        <v>49</v>
      </c>
      <c r="F252" s="1" t="s">
        <v>49</v>
      </c>
      <c r="G252" s="1" t="s">
        <v>131</v>
      </c>
      <c r="H252" s="1" t="s">
        <v>132</v>
      </c>
      <c r="I252" s="1" t="s">
        <v>44</v>
      </c>
      <c r="J252" s="1">
        <v>2</v>
      </c>
      <c r="K252" s="2">
        <v>604</v>
      </c>
      <c r="L252" s="5">
        <v>1208</v>
      </c>
      <c r="M252" s="5">
        <v>228.19</v>
      </c>
      <c r="N252" s="1" t="s">
        <v>45</v>
      </c>
      <c r="O252" s="1" t="s">
        <v>22</v>
      </c>
      <c r="P252" s="1" t="str">
        <f t="shared" si="3"/>
        <v>Low Value</v>
      </c>
    </row>
    <row r="253" spans="1:16" x14ac:dyDescent="0.35">
      <c r="A253" s="3" t="s">
        <v>588</v>
      </c>
      <c r="B253" s="4">
        <v>45849</v>
      </c>
      <c r="C253" s="1" t="s">
        <v>250</v>
      </c>
      <c r="D253" s="1" t="s">
        <v>251</v>
      </c>
      <c r="E253" s="1" t="s">
        <v>85</v>
      </c>
      <c r="F253" s="1" t="s">
        <v>86</v>
      </c>
      <c r="G253" s="1" t="s">
        <v>213</v>
      </c>
      <c r="H253" s="1" t="s">
        <v>214</v>
      </c>
      <c r="I253" s="1" t="s">
        <v>107</v>
      </c>
      <c r="J253" s="1">
        <v>7</v>
      </c>
      <c r="K253" s="2">
        <v>1899</v>
      </c>
      <c r="L253" s="5">
        <v>11299.05</v>
      </c>
      <c r="M253" s="5">
        <v>1698.6</v>
      </c>
      <c r="N253" s="1" t="s">
        <v>113</v>
      </c>
      <c r="O253" s="1" t="s">
        <v>22</v>
      </c>
      <c r="P253" s="1" t="str">
        <f t="shared" si="3"/>
        <v>High Value</v>
      </c>
    </row>
    <row r="254" spans="1:16" x14ac:dyDescent="0.35">
      <c r="A254" s="3" t="s">
        <v>589</v>
      </c>
      <c r="B254" s="4">
        <v>45983</v>
      </c>
      <c r="C254" s="1" t="s">
        <v>507</v>
      </c>
      <c r="D254" s="1" t="s">
        <v>508</v>
      </c>
      <c r="E254" s="1" t="s">
        <v>101</v>
      </c>
      <c r="F254" s="1" t="s">
        <v>86</v>
      </c>
      <c r="G254" s="1" t="s">
        <v>254</v>
      </c>
      <c r="H254" s="1" t="s">
        <v>255</v>
      </c>
      <c r="I254" s="1" t="s">
        <v>30</v>
      </c>
      <c r="J254" s="1">
        <v>3</v>
      </c>
      <c r="K254" s="2">
        <v>799</v>
      </c>
      <c r="L254" s="5">
        <v>2277.15</v>
      </c>
      <c r="M254" s="5">
        <v>343.54</v>
      </c>
      <c r="N254" s="1" t="s">
        <v>59</v>
      </c>
      <c r="O254" s="1" t="s">
        <v>136</v>
      </c>
      <c r="P254" s="1" t="str">
        <f t="shared" si="3"/>
        <v>Low Value</v>
      </c>
    </row>
    <row r="255" spans="1:16" x14ac:dyDescent="0.35">
      <c r="A255" s="3" t="s">
        <v>590</v>
      </c>
      <c r="B255" s="4">
        <v>45685</v>
      </c>
      <c r="C255" s="1" t="s">
        <v>413</v>
      </c>
      <c r="D255" s="1" t="s">
        <v>414</v>
      </c>
      <c r="E255" s="1" t="s">
        <v>166</v>
      </c>
      <c r="F255" s="1" t="s">
        <v>27</v>
      </c>
      <c r="G255" s="1" t="s">
        <v>105</v>
      </c>
      <c r="H255" s="1" t="s">
        <v>106</v>
      </c>
      <c r="I255" s="1" t="s">
        <v>107</v>
      </c>
      <c r="J255" s="1">
        <v>3</v>
      </c>
      <c r="K255" s="2">
        <v>999</v>
      </c>
      <c r="L255" s="5">
        <v>2697.3</v>
      </c>
      <c r="M255" s="5">
        <v>895.62</v>
      </c>
      <c r="N255" s="1" t="s">
        <v>21</v>
      </c>
      <c r="O255" s="1" t="s">
        <v>22</v>
      </c>
      <c r="P255" s="1" t="str">
        <f t="shared" si="3"/>
        <v>Low Value</v>
      </c>
    </row>
    <row r="256" spans="1:16" x14ac:dyDescent="0.35">
      <c r="A256" s="3" t="s">
        <v>591</v>
      </c>
      <c r="B256" s="4">
        <v>46008</v>
      </c>
      <c r="C256" s="1" t="s">
        <v>543</v>
      </c>
      <c r="D256" s="1" t="s">
        <v>484</v>
      </c>
      <c r="E256" s="1" t="s">
        <v>75</v>
      </c>
      <c r="F256" s="1" t="s">
        <v>76</v>
      </c>
      <c r="G256" s="1" t="s">
        <v>50</v>
      </c>
      <c r="H256" s="1" t="s">
        <v>51</v>
      </c>
      <c r="I256" s="1" t="s">
        <v>52</v>
      </c>
      <c r="J256" s="1">
        <v>8</v>
      </c>
      <c r="K256" s="2">
        <v>7999</v>
      </c>
      <c r="L256" s="5">
        <v>63992</v>
      </c>
      <c r="M256" s="5">
        <v>15638.85</v>
      </c>
      <c r="N256" s="1" t="s">
        <v>45</v>
      </c>
      <c r="O256" s="1" t="s">
        <v>22</v>
      </c>
      <c r="P256" s="1" t="str">
        <f t="shared" si="3"/>
        <v>High Value</v>
      </c>
    </row>
    <row r="257" spans="1:16" x14ac:dyDescent="0.35">
      <c r="A257" s="3" t="s">
        <v>592</v>
      </c>
      <c r="B257" s="4">
        <v>45773</v>
      </c>
      <c r="C257" s="1" t="s">
        <v>507</v>
      </c>
      <c r="D257" s="1" t="s">
        <v>508</v>
      </c>
      <c r="E257" s="1" t="s">
        <v>49</v>
      </c>
      <c r="F257" s="1" t="s">
        <v>49</v>
      </c>
      <c r="G257" s="1" t="s">
        <v>198</v>
      </c>
      <c r="H257" s="1" t="s">
        <v>199</v>
      </c>
      <c r="I257" s="1" t="s">
        <v>37</v>
      </c>
      <c r="J257" s="1">
        <v>8</v>
      </c>
      <c r="K257" s="2">
        <v>734</v>
      </c>
      <c r="L257" s="5">
        <v>4697.6000000000004</v>
      </c>
      <c r="M257" s="5">
        <v>1362.12</v>
      </c>
      <c r="N257" s="1" t="s">
        <v>113</v>
      </c>
      <c r="O257" s="1" t="s">
        <v>22</v>
      </c>
      <c r="P257" s="1" t="str">
        <f t="shared" si="3"/>
        <v>Low Value</v>
      </c>
    </row>
    <row r="258" spans="1:16" x14ac:dyDescent="0.35">
      <c r="A258" s="3" t="s">
        <v>593</v>
      </c>
      <c r="B258" s="4">
        <v>45951</v>
      </c>
      <c r="C258" s="1" t="s">
        <v>581</v>
      </c>
      <c r="D258" s="1" t="s">
        <v>582</v>
      </c>
      <c r="E258" s="1" t="s">
        <v>68</v>
      </c>
      <c r="F258" s="1" t="s">
        <v>69</v>
      </c>
      <c r="G258" s="1" t="s">
        <v>254</v>
      </c>
      <c r="H258" s="1" t="s">
        <v>255</v>
      </c>
      <c r="I258" s="1" t="s">
        <v>30</v>
      </c>
      <c r="J258" s="1">
        <v>6</v>
      </c>
      <c r="K258" s="2">
        <v>839</v>
      </c>
      <c r="L258" s="5">
        <v>5034</v>
      </c>
      <c r="M258" s="5">
        <v>1445.77</v>
      </c>
      <c r="N258" s="1" t="s">
        <v>113</v>
      </c>
      <c r="O258" s="1" t="s">
        <v>22</v>
      </c>
      <c r="P258" s="1" t="str">
        <f t="shared" ref="P258:P321" si="4">IF(L258&gt;=10000,"High Value",IF(L258&gt;=5000,"Medium Value","Low Value"))</f>
        <v>Medium Value</v>
      </c>
    </row>
    <row r="259" spans="1:16" x14ac:dyDescent="0.35">
      <c r="A259" s="3" t="s">
        <v>594</v>
      </c>
      <c r="B259" s="4">
        <v>45710</v>
      </c>
      <c r="C259" s="1" t="s">
        <v>489</v>
      </c>
      <c r="D259" s="1" t="s">
        <v>490</v>
      </c>
      <c r="E259" s="1" t="s">
        <v>141</v>
      </c>
      <c r="F259" s="1" t="s">
        <v>69</v>
      </c>
      <c r="G259" s="1" t="s">
        <v>70</v>
      </c>
      <c r="H259" s="1" t="s">
        <v>71</v>
      </c>
      <c r="I259" s="1" t="s">
        <v>44</v>
      </c>
      <c r="J259" s="1">
        <v>1</v>
      </c>
      <c r="K259" s="2">
        <v>3299</v>
      </c>
      <c r="L259" s="5">
        <v>3134.05</v>
      </c>
      <c r="M259" s="5">
        <v>616.42999999999995</v>
      </c>
      <c r="N259" s="1" t="s">
        <v>89</v>
      </c>
      <c r="O259" s="1" t="s">
        <v>22</v>
      </c>
      <c r="P259" s="1" t="str">
        <f t="shared" si="4"/>
        <v>Low Value</v>
      </c>
    </row>
    <row r="260" spans="1:16" x14ac:dyDescent="0.35">
      <c r="A260" s="3" t="s">
        <v>595</v>
      </c>
      <c r="B260" s="4">
        <v>45779</v>
      </c>
      <c r="C260" s="1" t="s">
        <v>596</v>
      </c>
      <c r="D260" s="1" t="s">
        <v>597</v>
      </c>
      <c r="E260" s="1" t="s">
        <v>312</v>
      </c>
      <c r="F260" s="1" t="s">
        <v>112</v>
      </c>
      <c r="G260" s="1" t="s">
        <v>131</v>
      </c>
      <c r="H260" s="1" t="s">
        <v>132</v>
      </c>
      <c r="I260" s="1" t="s">
        <v>44</v>
      </c>
      <c r="J260" s="1">
        <v>7</v>
      </c>
      <c r="K260" s="2">
        <v>549</v>
      </c>
      <c r="L260" s="5">
        <v>3266.55</v>
      </c>
      <c r="M260" s="5">
        <v>492.05</v>
      </c>
      <c r="N260" s="1" t="s">
        <v>45</v>
      </c>
      <c r="O260" s="1" t="s">
        <v>136</v>
      </c>
      <c r="P260" s="1" t="str">
        <f t="shared" si="4"/>
        <v>Low Value</v>
      </c>
    </row>
    <row r="261" spans="1:16" x14ac:dyDescent="0.35">
      <c r="A261" s="3" t="s">
        <v>598</v>
      </c>
      <c r="B261" s="4">
        <v>45949</v>
      </c>
      <c r="C261" s="1" t="s">
        <v>365</v>
      </c>
      <c r="D261" s="1" t="s">
        <v>366</v>
      </c>
      <c r="E261" s="1" t="s">
        <v>80</v>
      </c>
      <c r="F261" s="1" t="s">
        <v>81</v>
      </c>
      <c r="G261" s="1" t="s">
        <v>57</v>
      </c>
      <c r="H261" s="1" t="s">
        <v>58</v>
      </c>
      <c r="I261" s="1" t="s">
        <v>44</v>
      </c>
      <c r="J261" s="1">
        <v>3</v>
      </c>
      <c r="K261" s="2">
        <v>399</v>
      </c>
      <c r="L261" s="5">
        <v>957.6</v>
      </c>
      <c r="M261" s="5">
        <v>176.56</v>
      </c>
      <c r="N261" s="1" t="s">
        <v>21</v>
      </c>
      <c r="O261" s="1" t="s">
        <v>22</v>
      </c>
      <c r="P261" s="1" t="str">
        <f t="shared" si="4"/>
        <v>Low Value</v>
      </c>
    </row>
    <row r="262" spans="1:16" x14ac:dyDescent="0.35">
      <c r="A262" s="3" t="s">
        <v>599</v>
      </c>
      <c r="B262" s="4">
        <v>46005</v>
      </c>
      <c r="C262" s="1" t="s">
        <v>600</v>
      </c>
      <c r="D262" s="1" t="s">
        <v>601</v>
      </c>
      <c r="E262" s="1" t="s">
        <v>85</v>
      </c>
      <c r="F262" s="1" t="s">
        <v>86</v>
      </c>
      <c r="G262" s="1" t="s">
        <v>87</v>
      </c>
      <c r="H262" s="1" t="s">
        <v>88</v>
      </c>
      <c r="I262" s="1" t="s">
        <v>52</v>
      </c>
      <c r="J262" s="1">
        <v>1</v>
      </c>
      <c r="K262" s="2">
        <v>6499</v>
      </c>
      <c r="L262" s="5">
        <v>5199.2</v>
      </c>
      <c r="M262" s="5">
        <v>769.04</v>
      </c>
      <c r="N262" s="1" t="s">
        <v>45</v>
      </c>
      <c r="O262" s="1" t="s">
        <v>22</v>
      </c>
      <c r="P262" s="1" t="str">
        <f t="shared" si="4"/>
        <v>Medium Value</v>
      </c>
    </row>
    <row r="263" spans="1:16" x14ac:dyDescent="0.35">
      <c r="A263" s="3" t="s">
        <v>602</v>
      </c>
      <c r="B263" s="4">
        <v>45822</v>
      </c>
      <c r="C263" s="1" t="s">
        <v>92</v>
      </c>
      <c r="D263" s="1" t="s">
        <v>93</v>
      </c>
      <c r="E263" s="1" t="s">
        <v>145</v>
      </c>
      <c r="F263" s="1" t="s">
        <v>0</v>
      </c>
      <c r="G263" s="1" t="s">
        <v>105</v>
      </c>
      <c r="H263" s="1" t="s">
        <v>106</v>
      </c>
      <c r="I263" s="1" t="s">
        <v>107</v>
      </c>
      <c r="J263" s="1">
        <v>3</v>
      </c>
      <c r="K263" s="2">
        <v>1049</v>
      </c>
      <c r="L263" s="5">
        <v>2517.6</v>
      </c>
      <c r="M263" s="5">
        <v>450.95</v>
      </c>
      <c r="N263" s="1" t="s">
        <v>113</v>
      </c>
      <c r="O263" s="1" t="s">
        <v>22</v>
      </c>
      <c r="P263" s="1" t="str">
        <f t="shared" si="4"/>
        <v>Low Value</v>
      </c>
    </row>
    <row r="264" spans="1:16" x14ac:dyDescent="0.35">
      <c r="A264" s="3" t="s">
        <v>603</v>
      </c>
      <c r="B264" s="4">
        <v>45982</v>
      </c>
      <c r="C264" s="1" t="s">
        <v>73</v>
      </c>
      <c r="D264" s="1" t="s">
        <v>74</v>
      </c>
      <c r="E264" s="1" t="s">
        <v>145</v>
      </c>
      <c r="F264" s="1" t="s">
        <v>0</v>
      </c>
      <c r="G264" s="1" t="s">
        <v>213</v>
      </c>
      <c r="H264" s="1" t="s">
        <v>214</v>
      </c>
      <c r="I264" s="1" t="s">
        <v>107</v>
      </c>
      <c r="J264" s="1">
        <v>5</v>
      </c>
      <c r="K264" s="2">
        <v>2089</v>
      </c>
      <c r="L264" s="5">
        <v>9922.75</v>
      </c>
      <c r="M264" s="5">
        <v>2183.33</v>
      </c>
      <c r="N264" s="1" t="s">
        <v>113</v>
      </c>
      <c r="O264" s="1" t="s">
        <v>22</v>
      </c>
      <c r="P264" s="1" t="str">
        <f t="shared" si="4"/>
        <v>Medium Value</v>
      </c>
    </row>
    <row r="265" spans="1:16" x14ac:dyDescent="0.35">
      <c r="A265" s="3" t="s">
        <v>604</v>
      </c>
      <c r="B265" s="4">
        <v>45705</v>
      </c>
      <c r="C265" s="1" t="s">
        <v>473</v>
      </c>
      <c r="D265" s="1" t="s">
        <v>474</v>
      </c>
      <c r="E265" s="1" t="s">
        <v>312</v>
      </c>
      <c r="F265" s="1" t="s">
        <v>112</v>
      </c>
      <c r="G265" s="1" t="s">
        <v>182</v>
      </c>
      <c r="H265" s="1" t="s">
        <v>183</v>
      </c>
      <c r="I265" s="1" t="s">
        <v>20</v>
      </c>
      <c r="J265" s="1">
        <v>7</v>
      </c>
      <c r="K265" s="2">
        <v>1799</v>
      </c>
      <c r="L265" s="5">
        <v>11333.7</v>
      </c>
      <c r="M265" s="5">
        <v>3416.73</v>
      </c>
      <c r="N265" s="1" t="s">
        <v>113</v>
      </c>
      <c r="O265" s="1" t="s">
        <v>22</v>
      </c>
      <c r="P265" s="1" t="str">
        <f t="shared" si="4"/>
        <v>High Value</v>
      </c>
    </row>
    <row r="266" spans="1:16" x14ac:dyDescent="0.35">
      <c r="A266" s="3" t="s">
        <v>605</v>
      </c>
      <c r="B266" s="4">
        <v>45830</v>
      </c>
      <c r="C266" s="1" t="s">
        <v>606</v>
      </c>
      <c r="D266" s="1" t="s">
        <v>74</v>
      </c>
      <c r="E266" s="1" t="s">
        <v>85</v>
      </c>
      <c r="F266" s="1" t="s">
        <v>86</v>
      </c>
      <c r="G266" s="1" t="s">
        <v>28</v>
      </c>
      <c r="H266" s="1" t="s">
        <v>29</v>
      </c>
      <c r="I266" s="1" t="s">
        <v>30</v>
      </c>
      <c r="J266" s="1">
        <v>8</v>
      </c>
      <c r="K266" s="2">
        <v>1599</v>
      </c>
      <c r="L266" s="5">
        <v>10233.6</v>
      </c>
      <c r="M266" s="5">
        <v>2944.16</v>
      </c>
      <c r="N266" s="1" t="s">
        <v>89</v>
      </c>
      <c r="O266" s="1" t="s">
        <v>22</v>
      </c>
      <c r="P266" s="1" t="str">
        <f t="shared" si="4"/>
        <v>High Value</v>
      </c>
    </row>
    <row r="267" spans="1:16" x14ac:dyDescent="0.35">
      <c r="A267" s="3" t="s">
        <v>607</v>
      </c>
      <c r="B267" s="4">
        <v>45666</v>
      </c>
      <c r="C267" s="1" t="s">
        <v>608</v>
      </c>
      <c r="D267" s="1" t="s">
        <v>609</v>
      </c>
      <c r="E267" s="1" t="s">
        <v>101</v>
      </c>
      <c r="F267" s="1" t="s">
        <v>86</v>
      </c>
      <c r="G267" s="1" t="s">
        <v>50</v>
      </c>
      <c r="H267" s="1" t="s">
        <v>51</v>
      </c>
      <c r="I267" s="1" t="s">
        <v>52</v>
      </c>
      <c r="J267" s="1">
        <v>8</v>
      </c>
      <c r="K267" s="2">
        <v>7199</v>
      </c>
      <c r="L267" s="5">
        <v>51832.800000000003</v>
      </c>
      <c r="M267" s="5">
        <v>8527.01</v>
      </c>
      <c r="N267" s="1" t="s">
        <v>45</v>
      </c>
      <c r="O267" s="1" t="s">
        <v>90</v>
      </c>
      <c r="P267" s="1" t="str">
        <f t="shared" si="4"/>
        <v>High Value</v>
      </c>
    </row>
    <row r="268" spans="1:16" x14ac:dyDescent="0.35">
      <c r="A268" s="3" t="s">
        <v>610</v>
      </c>
      <c r="B268" s="4">
        <v>45739</v>
      </c>
      <c r="C268" s="1" t="s">
        <v>207</v>
      </c>
      <c r="D268" s="1" t="s">
        <v>208</v>
      </c>
      <c r="E268" s="1" t="s">
        <v>34</v>
      </c>
      <c r="F268" s="1" t="s">
        <v>27</v>
      </c>
      <c r="G268" s="1" t="s">
        <v>95</v>
      </c>
      <c r="H268" s="1" t="s">
        <v>96</v>
      </c>
      <c r="I268" s="1" t="s">
        <v>97</v>
      </c>
      <c r="J268" s="1">
        <v>5</v>
      </c>
      <c r="K268" s="2">
        <v>224</v>
      </c>
      <c r="L268" s="5">
        <v>1064</v>
      </c>
      <c r="M268" s="5">
        <v>283.23</v>
      </c>
      <c r="N268" s="1" t="s">
        <v>45</v>
      </c>
      <c r="O268" s="1" t="s">
        <v>22</v>
      </c>
      <c r="P268" s="1" t="str">
        <f t="shared" si="4"/>
        <v>Low Value</v>
      </c>
    </row>
    <row r="269" spans="1:16" x14ac:dyDescent="0.35">
      <c r="A269" s="3" t="s">
        <v>611</v>
      </c>
      <c r="B269" s="4">
        <v>45814</v>
      </c>
      <c r="C269" s="1" t="s">
        <v>291</v>
      </c>
      <c r="D269" s="1" t="s">
        <v>292</v>
      </c>
      <c r="E269" s="1" t="s">
        <v>141</v>
      </c>
      <c r="F269" s="1" t="s">
        <v>69</v>
      </c>
      <c r="G269" s="1" t="s">
        <v>87</v>
      </c>
      <c r="H269" s="1" t="s">
        <v>88</v>
      </c>
      <c r="I269" s="1" t="s">
        <v>52</v>
      </c>
      <c r="J269" s="1">
        <v>2</v>
      </c>
      <c r="K269" s="2">
        <v>7149</v>
      </c>
      <c r="L269" s="5">
        <v>14298</v>
      </c>
      <c r="M269" s="5">
        <v>1719.18</v>
      </c>
      <c r="N269" s="1" t="s">
        <v>113</v>
      </c>
      <c r="O269" s="1" t="s">
        <v>22</v>
      </c>
      <c r="P269" s="1" t="str">
        <f t="shared" si="4"/>
        <v>High Value</v>
      </c>
    </row>
    <row r="270" spans="1:16" x14ac:dyDescent="0.35">
      <c r="A270" s="3" t="s">
        <v>612</v>
      </c>
      <c r="B270" s="4">
        <v>45773</v>
      </c>
      <c r="C270" s="1" t="s">
        <v>613</v>
      </c>
      <c r="D270" s="1" t="s">
        <v>614</v>
      </c>
      <c r="E270" s="1" t="s">
        <v>172</v>
      </c>
      <c r="F270" s="1" t="s">
        <v>173</v>
      </c>
      <c r="G270" s="1" t="s">
        <v>63</v>
      </c>
      <c r="H270" s="1" t="s">
        <v>64</v>
      </c>
      <c r="I270" s="1" t="s">
        <v>20</v>
      </c>
      <c r="J270" s="1">
        <v>1</v>
      </c>
      <c r="K270" s="2">
        <v>659</v>
      </c>
      <c r="L270" s="5">
        <v>626.04999999999995</v>
      </c>
      <c r="M270" s="5">
        <v>187.67</v>
      </c>
      <c r="N270" s="1" t="s">
        <v>113</v>
      </c>
      <c r="O270" s="1" t="s">
        <v>22</v>
      </c>
      <c r="P270" s="1" t="str">
        <f t="shared" si="4"/>
        <v>Low Value</v>
      </c>
    </row>
    <row r="271" spans="1:16" x14ac:dyDescent="0.35">
      <c r="A271" s="3" t="s">
        <v>615</v>
      </c>
      <c r="B271" s="4">
        <v>45694</v>
      </c>
      <c r="C271" s="1" t="s">
        <v>246</v>
      </c>
      <c r="D271" s="1" t="s">
        <v>247</v>
      </c>
      <c r="E271" s="1" t="s">
        <v>145</v>
      </c>
      <c r="F271" s="1" t="s">
        <v>0</v>
      </c>
      <c r="G271" s="1" t="s">
        <v>182</v>
      </c>
      <c r="H271" s="1" t="s">
        <v>183</v>
      </c>
      <c r="I271" s="1" t="s">
        <v>20</v>
      </c>
      <c r="J271" s="1">
        <v>2</v>
      </c>
      <c r="K271" s="2">
        <v>1619</v>
      </c>
      <c r="L271" s="5">
        <v>3076.1</v>
      </c>
      <c r="M271" s="5">
        <v>617.88</v>
      </c>
      <c r="N271" s="1" t="s">
        <v>59</v>
      </c>
      <c r="O271" s="1" t="s">
        <v>22</v>
      </c>
      <c r="P271" s="1" t="str">
        <f t="shared" si="4"/>
        <v>Low Value</v>
      </c>
    </row>
    <row r="272" spans="1:16" x14ac:dyDescent="0.35">
      <c r="A272" s="3" t="s">
        <v>616</v>
      </c>
      <c r="B272" s="4">
        <v>45986</v>
      </c>
      <c r="C272" s="1" t="s">
        <v>129</v>
      </c>
      <c r="D272" s="1" t="s">
        <v>130</v>
      </c>
      <c r="E272" s="1" t="s">
        <v>85</v>
      </c>
      <c r="F272" s="1" t="s">
        <v>86</v>
      </c>
      <c r="G272" s="1" t="s">
        <v>182</v>
      </c>
      <c r="H272" s="1" t="s">
        <v>183</v>
      </c>
      <c r="I272" s="1" t="s">
        <v>20</v>
      </c>
      <c r="J272" s="1">
        <v>1</v>
      </c>
      <c r="K272" s="2">
        <v>1889</v>
      </c>
      <c r="L272" s="5">
        <v>1511.2</v>
      </c>
      <c r="M272" s="5">
        <v>235.91</v>
      </c>
      <c r="N272" s="1" t="s">
        <v>59</v>
      </c>
      <c r="O272" s="1" t="s">
        <v>22</v>
      </c>
      <c r="P272" s="1" t="str">
        <f t="shared" si="4"/>
        <v>Low Value</v>
      </c>
    </row>
    <row r="273" spans="1:16" x14ac:dyDescent="0.35">
      <c r="A273" s="3" t="s">
        <v>617</v>
      </c>
      <c r="B273" s="4">
        <v>45735</v>
      </c>
      <c r="C273" s="1" t="s">
        <v>618</v>
      </c>
      <c r="D273" s="1" t="s">
        <v>619</v>
      </c>
      <c r="E273" s="1" t="s">
        <v>172</v>
      </c>
      <c r="F273" s="1" t="s">
        <v>173</v>
      </c>
      <c r="G273" s="1" t="s">
        <v>161</v>
      </c>
      <c r="H273" s="1" t="s">
        <v>162</v>
      </c>
      <c r="I273" s="1" t="s">
        <v>37</v>
      </c>
      <c r="J273" s="1">
        <v>2</v>
      </c>
      <c r="K273" s="2">
        <v>2069</v>
      </c>
      <c r="L273" s="5">
        <v>4138</v>
      </c>
      <c r="M273" s="5">
        <v>1181.56</v>
      </c>
      <c r="N273" s="1" t="s">
        <v>21</v>
      </c>
      <c r="O273" s="1" t="s">
        <v>22</v>
      </c>
      <c r="P273" s="1" t="str">
        <f t="shared" si="4"/>
        <v>Low Value</v>
      </c>
    </row>
    <row r="274" spans="1:16" x14ac:dyDescent="0.35">
      <c r="A274" s="3" t="s">
        <v>620</v>
      </c>
      <c r="B274" s="4">
        <v>45877</v>
      </c>
      <c r="C274" s="1" t="s">
        <v>357</v>
      </c>
      <c r="D274" s="1" t="s">
        <v>328</v>
      </c>
      <c r="E274" s="1" t="s">
        <v>85</v>
      </c>
      <c r="F274" s="1" t="s">
        <v>86</v>
      </c>
      <c r="G274" s="1" t="s">
        <v>35</v>
      </c>
      <c r="H274" s="1" t="s">
        <v>36</v>
      </c>
      <c r="I274" s="1" t="s">
        <v>37</v>
      </c>
      <c r="J274" s="1">
        <v>5</v>
      </c>
      <c r="K274" s="2">
        <v>1429</v>
      </c>
      <c r="L274" s="5">
        <v>7145</v>
      </c>
      <c r="M274" s="5">
        <v>1247.49</v>
      </c>
      <c r="N274" s="1" t="s">
        <v>21</v>
      </c>
      <c r="O274" s="1" t="s">
        <v>22</v>
      </c>
      <c r="P274" s="1" t="str">
        <f t="shared" si="4"/>
        <v>Medium Value</v>
      </c>
    </row>
    <row r="275" spans="1:16" x14ac:dyDescent="0.35">
      <c r="A275" s="3" t="s">
        <v>621</v>
      </c>
      <c r="B275" s="4">
        <v>45803</v>
      </c>
      <c r="C275" s="1" t="s">
        <v>238</v>
      </c>
      <c r="D275" s="1" t="s">
        <v>239</v>
      </c>
      <c r="E275" s="1" t="s">
        <v>166</v>
      </c>
      <c r="F275" s="1" t="s">
        <v>27</v>
      </c>
      <c r="G275" s="1" t="s">
        <v>70</v>
      </c>
      <c r="H275" s="1" t="s">
        <v>71</v>
      </c>
      <c r="I275" s="1" t="s">
        <v>44</v>
      </c>
      <c r="J275" s="1">
        <v>4</v>
      </c>
      <c r="K275" s="2">
        <v>3464</v>
      </c>
      <c r="L275" s="5">
        <v>11777.6</v>
      </c>
      <c r="M275" s="5">
        <v>2733.52</v>
      </c>
      <c r="N275" s="1" t="s">
        <v>113</v>
      </c>
      <c r="O275" s="1" t="s">
        <v>22</v>
      </c>
      <c r="P275" s="1" t="str">
        <f t="shared" si="4"/>
        <v>High Value</v>
      </c>
    </row>
    <row r="276" spans="1:16" x14ac:dyDescent="0.35">
      <c r="A276" s="3" t="s">
        <v>622</v>
      </c>
      <c r="B276" s="4">
        <v>45780</v>
      </c>
      <c r="C276" s="1" t="s">
        <v>143</v>
      </c>
      <c r="D276" s="1" t="s">
        <v>144</v>
      </c>
      <c r="E276" s="1" t="s">
        <v>145</v>
      </c>
      <c r="F276" s="1" t="s">
        <v>0</v>
      </c>
      <c r="G276" s="1" t="s">
        <v>120</v>
      </c>
      <c r="H276" s="1" t="s">
        <v>121</v>
      </c>
      <c r="I276" s="1" t="s">
        <v>20</v>
      </c>
      <c r="J276" s="1">
        <v>4</v>
      </c>
      <c r="K276" s="2">
        <v>1499</v>
      </c>
      <c r="L276" s="5">
        <v>4796.8</v>
      </c>
      <c r="M276" s="5">
        <v>1202.3900000000001</v>
      </c>
      <c r="N276" s="1" t="s">
        <v>21</v>
      </c>
      <c r="O276" s="1" t="s">
        <v>90</v>
      </c>
      <c r="P276" s="1" t="str">
        <f t="shared" si="4"/>
        <v>Low Value</v>
      </c>
    </row>
    <row r="277" spans="1:16" x14ac:dyDescent="0.35">
      <c r="A277" s="3" t="s">
        <v>623</v>
      </c>
      <c r="B277" s="4">
        <v>45842</v>
      </c>
      <c r="C277" s="1" t="s">
        <v>624</v>
      </c>
      <c r="D277" s="1" t="s">
        <v>625</v>
      </c>
      <c r="E277" s="1" t="s">
        <v>85</v>
      </c>
      <c r="F277" s="1" t="s">
        <v>86</v>
      </c>
      <c r="G277" s="1" t="s">
        <v>262</v>
      </c>
      <c r="H277" s="1" t="s">
        <v>263</v>
      </c>
      <c r="I277" s="1" t="s">
        <v>97</v>
      </c>
      <c r="J277" s="1">
        <v>7</v>
      </c>
      <c r="K277" s="2">
        <v>149</v>
      </c>
      <c r="L277" s="5">
        <v>886.55</v>
      </c>
      <c r="M277" s="5">
        <v>239.59</v>
      </c>
      <c r="N277" s="1" t="s">
        <v>113</v>
      </c>
      <c r="O277" s="1" t="s">
        <v>53</v>
      </c>
      <c r="P277" s="1" t="str">
        <f t="shared" si="4"/>
        <v>Low Value</v>
      </c>
    </row>
    <row r="278" spans="1:16" x14ac:dyDescent="0.35">
      <c r="A278" s="3" t="s">
        <v>626</v>
      </c>
      <c r="B278" s="4">
        <v>45666</v>
      </c>
      <c r="C278" s="1" t="s">
        <v>318</v>
      </c>
      <c r="D278" s="1" t="s">
        <v>319</v>
      </c>
      <c r="E278" s="1" t="s">
        <v>34</v>
      </c>
      <c r="F278" s="1" t="s">
        <v>27</v>
      </c>
      <c r="G278" s="1" t="s">
        <v>63</v>
      </c>
      <c r="H278" s="1" t="s">
        <v>64</v>
      </c>
      <c r="I278" s="1" t="s">
        <v>20</v>
      </c>
      <c r="J278" s="1">
        <v>5</v>
      </c>
      <c r="K278" s="2">
        <v>599</v>
      </c>
      <c r="L278" s="5">
        <v>2995</v>
      </c>
      <c r="M278" s="5">
        <v>967.29</v>
      </c>
      <c r="N278" s="1" t="s">
        <v>113</v>
      </c>
      <c r="O278" s="1" t="s">
        <v>22</v>
      </c>
      <c r="P278" s="1" t="str">
        <f t="shared" si="4"/>
        <v>Low Value</v>
      </c>
    </row>
    <row r="279" spans="1:16" x14ac:dyDescent="0.35">
      <c r="A279" s="3" t="s">
        <v>627</v>
      </c>
      <c r="B279" s="4">
        <v>46022</v>
      </c>
      <c r="C279" s="1" t="s">
        <v>557</v>
      </c>
      <c r="D279" s="1" t="s">
        <v>558</v>
      </c>
      <c r="E279" s="1" t="s">
        <v>75</v>
      </c>
      <c r="F279" s="1" t="s">
        <v>76</v>
      </c>
      <c r="G279" s="1" t="s">
        <v>87</v>
      </c>
      <c r="H279" s="1" t="s">
        <v>88</v>
      </c>
      <c r="I279" s="1" t="s">
        <v>52</v>
      </c>
      <c r="J279" s="1">
        <v>7</v>
      </c>
      <c r="K279" s="2">
        <v>5849</v>
      </c>
      <c r="L279" s="5">
        <v>32754.400000000001</v>
      </c>
      <c r="M279" s="5">
        <v>7797</v>
      </c>
      <c r="N279" s="1" t="s">
        <v>21</v>
      </c>
      <c r="O279" s="1" t="s">
        <v>22</v>
      </c>
      <c r="P279" s="1" t="str">
        <f t="shared" si="4"/>
        <v>High Value</v>
      </c>
    </row>
    <row r="280" spans="1:16" x14ac:dyDescent="0.35">
      <c r="A280" s="3" t="s">
        <v>628</v>
      </c>
      <c r="B280" s="4">
        <v>45816</v>
      </c>
      <c r="C280" s="1" t="s">
        <v>629</v>
      </c>
      <c r="D280" s="1" t="s">
        <v>630</v>
      </c>
      <c r="E280" s="1" t="s">
        <v>41</v>
      </c>
      <c r="F280" s="1" t="s">
        <v>17</v>
      </c>
      <c r="G280" s="1" t="s">
        <v>161</v>
      </c>
      <c r="H280" s="1" t="s">
        <v>162</v>
      </c>
      <c r="I280" s="1" t="s">
        <v>37</v>
      </c>
      <c r="J280" s="1">
        <v>3</v>
      </c>
      <c r="K280" s="2">
        <v>2414</v>
      </c>
      <c r="L280" s="5">
        <v>6879.9</v>
      </c>
      <c r="M280" s="5">
        <v>1416.99</v>
      </c>
      <c r="N280" s="1" t="s">
        <v>89</v>
      </c>
      <c r="O280" s="1" t="s">
        <v>22</v>
      </c>
      <c r="P280" s="1" t="str">
        <f t="shared" si="4"/>
        <v>Medium Value</v>
      </c>
    </row>
    <row r="281" spans="1:16" x14ac:dyDescent="0.35">
      <c r="A281" s="3" t="s">
        <v>631</v>
      </c>
      <c r="B281" s="4">
        <v>45780</v>
      </c>
      <c r="C281" s="1" t="s">
        <v>24</v>
      </c>
      <c r="D281" s="1" t="s">
        <v>25</v>
      </c>
      <c r="E281" s="1" t="s">
        <v>141</v>
      </c>
      <c r="F281" s="1" t="s">
        <v>69</v>
      </c>
      <c r="G281" s="1" t="s">
        <v>182</v>
      </c>
      <c r="H281" s="1" t="s">
        <v>183</v>
      </c>
      <c r="I281" s="1" t="s">
        <v>20</v>
      </c>
      <c r="J281" s="1">
        <v>7</v>
      </c>
      <c r="K281" s="2">
        <v>1619</v>
      </c>
      <c r="L281" s="5">
        <v>10199.700000000001</v>
      </c>
      <c r="M281" s="5">
        <v>2597.92</v>
      </c>
      <c r="N281" s="1" t="s">
        <v>89</v>
      </c>
      <c r="O281" s="1" t="s">
        <v>22</v>
      </c>
      <c r="P281" s="1" t="str">
        <f t="shared" si="4"/>
        <v>High Value</v>
      </c>
    </row>
    <row r="282" spans="1:16" x14ac:dyDescent="0.35">
      <c r="A282" s="3" t="s">
        <v>632</v>
      </c>
      <c r="B282" s="4">
        <v>45994</v>
      </c>
      <c r="C282" s="1" t="s">
        <v>321</v>
      </c>
      <c r="D282" s="1" t="s">
        <v>322</v>
      </c>
      <c r="E282" s="1" t="s">
        <v>94</v>
      </c>
      <c r="F282" s="1" t="s">
        <v>27</v>
      </c>
      <c r="G282" s="1" t="s">
        <v>63</v>
      </c>
      <c r="H282" s="1" t="s">
        <v>64</v>
      </c>
      <c r="I282" s="1" t="s">
        <v>20</v>
      </c>
      <c r="J282" s="1">
        <v>3</v>
      </c>
      <c r="K282" s="2">
        <v>659</v>
      </c>
      <c r="L282" s="5">
        <v>1977</v>
      </c>
      <c r="M282" s="5">
        <v>308.5</v>
      </c>
      <c r="N282" s="1" t="s">
        <v>59</v>
      </c>
      <c r="O282" s="1" t="s">
        <v>22</v>
      </c>
      <c r="P282" s="1" t="str">
        <f t="shared" si="4"/>
        <v>Low Value</v>
      </c>
    </row>
    <row r="283" spans="1:16" x14ac:dyDescent="0.35">
      <c r="A283" s="3" t="s">
        <v>633</v>
      </c>
      <c r="B283" s="4">
        <v>45790</v>
      </c>
      <c r="C283" s="1" t="s">
        <v>170</v>
      </c>
      <c r="D283" s="1" t="s">
        <v>171</v>
      </c>
      <c r="E283" s="1" t="s">
        <v>312</v>
      </c>
      <c r="F283" s="1" t="s">
        <v>112</v>
      </c>
      <c r="G283" s="1" t="s">
        <v>18</v>
      </c>
      <c r="H283" s="1" t="s">
        <v>19</v>
      </c>
      <c r="I283" s="1" t="s">
        <v>20</v>
      </c>
      <c r="J283" s="1">
        <v>5</v>
      </c>
      <c r="K283" s="2">
        <v>4399</v>
      </c>
      <c r="L283" s="5">
        <v>21995</v>
      </c>
      <c r="M283" s="5">
        <v>6372.27</v>
      </c>
      <c r="N283" s="1" t="s">
        <v>89</v>
      </c>
      <c r="O283" s="1" t="s">
        <v>22</v>
      </c>
      <c r="P283" s="1" t="str">
        <f t="shared" si="4"/>
        <v>High Value</v>
      </c>
    </row>
    <row r="284" spans="1:16" x14ac:dyDescent="0.35">
      <c r="A284" s="3" t="s">
        <v>634</v>
      </c>
      <c r="B284" s="4">
        <v>45797</v>
      </c>
      <c r="C284" s="1" t="s">
        <v>273</v>
      </c>
      <c r="D284" s="1" t="s">
        <v>274</v>
      </c>
      <c r="E284" s="1" t="s">
        <v>34</v>
      </c>
      <c r="F284" s="1" t="s">
        <v>27</v>
      </c>
      <c r="G284" s="1" t="s">
        <v>57</v>
      </c>
      <c r="H284" s="1" t="s">
        <v>58</v>
      </c>
      <c r="I284" s="1" t="s">
        <v>44</v>
      </c>
      <c r="J284" s="1">
        <v>2</v>
      </c>
      <c r="K284" s="2">
        <v>399</v>
      </c>
      <c r="L284" s="5">
        <v>718.2</v>
      </c>
      <c r="M284" s="5">
        <v>166.89</v>
      </c>
      <c r="N284" s="1" t="s">
        <v>89</v>
      </c>
      <c r="O284" s="1" t="s">
        <v>22</v>
      </c>
      <c r="P284" s="1" t="str">
        <f t="shared" si="4"/>
        <v>Low Value</v>
      </c>
    </row>
    <row r="285" spans="1:16" x14ac:dyDescent="0.35">
      <c r="A285" s="3" t="s">
        <v>635</v>
      </c>
      <c r="B285" s="4">
        <v>45743</v>
      </c>
      <c r="C285" s="1" t="s">
        <v>538</v>
      </c>
      <c r="D285" s="1" t="s">
        <v>539</v>
      </c>
      <c r="E285" s="1" t="s">
        <v>101</v>
      </c>
      <c r="F285" s="1" t="s">
        <v>86</v>
      </c>
      <c r="G285" s="1" t="s">
        <v>57</v>
      </c>
      <c r="H285" s="1" t="s">
        <v>58</v>
      </c>
      <c r="I285" s="1" t="s">
        <v>44</v>
      </c>
      <c r="J285" s="1">
        <v>2</v>
      </c>
      <c r="K285" s="2">
        <v>419</v>
      </c>
      <c r="L285" s="5">
        <v>670.4</v>
      </c>
      <c r="M285" s="5">
        <v>187.05</v>
      </c>
      <c r="N285" s="1" t="s">
        <v>45</v>
      </c>
      <c r="O285" s="1" t="s">
        <v>22</v>
      </c>
      <c r="P285" s="1" t="str">
        <f t="shared" si="4"/>
        <v>Low Value</v>
      </c>
    </row>
    <row r="286" spans="1:16" x14ac:dyDescent="0.35">
      <c r="A286" s="3" t="s">
        <v>636</v>
      </c>
      <c r="B286" s="4">
        <v>45680</v>
      </c>
      <c r="C286" s="1" t="s">
        <v>223</v>
      </c>
      <c r="D286" s="1" t="s">
        <v>224</v>
      </c>
      <c r="E286" s="1" t="s">
        <v>141</v>
      </c>
      <c r="F286" s="1" t="s">
        <v>69</v>
      </c>
      <c r="G286" s="1" t="s">
        <v>177</v>
      </c>
      <c r="H286" s="1" t="s">
        <v>178</v>
      </c>
      <c r="I286" s="1" t="s">
        <v>20</v>
      </c>
      <c r="J286" s="1">
        <v>8</v>
      </c>
      <c r="K286" s="2">
        <v>2499</v>
      </c>
      <c r="L286" s="5">
        <v>17992.8</v>
      </c>
      <c r="M286" s="5">
        <v>5801.78</v>
      </c>
      <c r="N286" s="1" t="s">
        <v>45</v>
      </c>
      <c r="O286" s="1" t="s">
        <v>90</v>
      </c>
      <c r="P286" s="1" t="str">
        <f t="shared" si="4"/>
        <v>High Value</v>
      </c>
    </row>
    <row r="287" spans="1:16" x14ac:dyDescent="0.35">
      <c r="A287" s="3" t="s">
        <v>637</v>
      </c>
      <c r="B287" s="4">
        <v>45941</v>
      </c>
      <c r="C287" s="1" t="s">
        <v>489</v>
      </c>
      <c r="D287" s="1" t="s">
        <v>490</v>
      </c>
      <c r="E287" s="1" t="s">
        <v>75</v>
      </c>
      <c r="F287" s="1" t="s">
        <v>76</v>
      </c>
      <c r="G287" s="1" t="s">
        <v>35</v>
      </c>
      <c r="H287" s="1" t="s">
        <v>36</v>
      </c>
      <c r="I287" s="1" t="s">
        <v>37</v>
      </c>
      <c r="J287" s="1">
        <v>6</v>
      </c>
      <c r="K287" s="2">
        <v>1299</v>
      </c>
      <c r="L287" s="5">
        <v>7014.6</v>
      </c>
      <c r="M287" s="5">
        <v>2255.11</v>
      </c>
      <c r="N287" s="1" t="s">
        <v>59</v>
      </c>
      <c r="O287" s="1" t="s">
        <v>22</v>
      </c>
      <c r="P287" s="1" t="str">
        <f t="shared" si="4"/>
        <v>Medium Value</v>
      </c>
    </row>
    <row r="288" spans="1:16" x14ac:dyDescent="0.35">
      <c r="A288" s="3" t="s">
        <v>638</v>
      </c>
      <c r="B288" s="4">
        <v>45950</v>
      </c>
      <c r="C288" s="1" t="s">
        <v>379</v>
      </c>
      <c r="D288" s="1" t="s">
        <v>380</v>
      </c>
      <c r="E288" s="1" t="s">
        <v>94</v>
      </c>
      <c r="F288" s="1" t="s">
        <v>27</v>
      </c>
      <c r="G288" s="1" t="s">
        <v>213</v>
      </c>
      <c r="H288" s="1" t="s">
        <v>214</v>
      </c>
      <c r="I288" s="1" t="s">
        <v>107</v>
      </c>
      <c r="J288" s="1">
        <v>1</v>
      </c>
      <c r="K288" s="2">
        <v>1899</v>
      </c>
      <c r="L288" s="5">
        <v>1899</v>
      </c>
      <c r="M288" s="5">
        <v>563.91999999999996</v>
      </c>
      <c r="N288" s="1" t="s">
        <v>89</v>
      </c>
      <c r="O288" s="1" t="s">
        <v>53</v>
      </c>
      <c r="P288" s="1" t="str">
        <f t="shared" si="4"/>
        <v>Low Value</v>
      </c>
    </row>
    <row r="289" spans="1:16" x14ac:dyDescent="0.35">
      <c r="A289" s="3" t="s">
        <v>639</v>
      </c>
      <c r="B289" s="4">
        <v>45896</v>
      </c>
      <c r="C289" s="1" t="s">
        <v>640</v>
      </c>
      <c r="D289" s="1" t="s">
        <v>641</v>
      </c>
      <c r="E289" s="1" t="s">
        <v>49</v>
      </c>
      <c r="F289" s="1" t="s">
        <v>49</v>
      </c>
      <c r="G289" s="1" t="s">
        <v>42</v>
      </c>
      <c r="H289" s="1" t="s">
        <v>43</v>
      </c>
      <c r="I289" s="1" t="s">
        <v>44</v>
      </c>
      <c r="J289" s="1">
        <v>2</v>
      </c>
      <c r="K289" s="2">
        <v>944</v>
      </c>
      <c r="L289" s="5">
        <v>1699.2</v>
      </c>
      <c r="M289" s="5">
        <v>206.88</v>
      </c>
      <c r="N289" s="1" t="s">
        <v>45</v>
      </c>
      <c r="O289" s="1" t="s">
        <v>22</v>
      </c>
      <c r="P289" s="1" t="str">
        <f t="shared" si="4"/>
        <v>Low Value</v>
      </c>
    </row>
    <row r="290" spans="1:16" x14ac:dyDescent="0.35">
      <c r="A290" s="3" t="s">
        <v>642</v>
      </c>
      <c r="B290" s="4">
        <v>45976</v>
      </c>
      <c r="C290" s="1" t="s">
        <v>283</v>
      </c>
      <c r="D290" s="1" t="s">
        <v>284</v>
      </c>
      <c r="E290" s="1" t="s">
        <v>172</v>
      </c>
      <c r="F290" s="1" t="s">
        <v>173</v>
      </c>
      <c r="G290" s="1" t="s">
        <v>95</v>
      </c>
      <c r="H290" s="1" t="s">
        <v>96</v>
      </c>
      <c r="I290" s="1" t="s">
        <v>97</v>
      </c>
      <c r="J290" s="1">
        <v>8</v>
      </c>
      <c r="K290" s="2">
        <v>249</v>
      </c>
      <c r="L290" s="5">
        <v>1593.6</v>
      </c>
      <c r="M290" s="5">
        <v>506.92</v>
      </c>
      <c r="N290" s="1" t="s">
        <v>45</v>
      </c>
      <c r="O290" s="1" t="s">
        <v>22</v>
      </c>
      <c r="P290" s="1" t="str">
        <f t="shared" si="4"/>
        <v>Low Value</v>
      </c>
    </row>
    <row r="291" spans="1:16" x14ac:dyDescent="0.35">
      <c r="A291" s="3" t="s">
        <v>643</v>
      </c>
      <c r="B291" s="4">
        <v>45670</v>
      </c>
      <c r="C291" s="1" t="s">
        <v>392</v>
      </c>
      <c r="D291" s="1" t="s">
        <v>393</v>
      </c>
      <c r="E291" s="1" t="s">
        <v>80</v>
      </c>
      <c r="F291" s="1" t="s">
        <v>81</v>
      </c>
      <c r="G291" s="1" t="s">
        <v>95</v>
      </c>
      <c r="H291" s="1" t="s">
        <v>96</v>
      </c>
      <c r="I291" s="1" t="s">
        <v>97</v>
      </c>
      <c r="J291" s="1">
        <v>1</v>
      </c>
      <c r="K291" s="2">
        <v>249</v>
      </c>
      <c r="L291" s="5">
        <v>249</v>
      </c>
      <c r="M291" s="5">
        <v>71.45</v>
      </c>
      <c r="N291" s="1" t="s">
        <v>113</v>
      </c>
      <c r="O291" s="1" t="s">
        <v>136</v>
      </c>
      <c r="P291" s="1" t="str">
        <f t="shared" si="4"/>
        <v>Low Value</v>
      </c>
    </row>
    <row r="292" spans="1:16" x14ac:dyDescent="0.35">
      <c r="A292" s="3" t="s">
        <v>644</v>
      </c>
      <c r="B292" s="4">
        <v>45815</v>
      </c>
      <c r="C292" s="1" t="s">
        <v>194</v>
      </c>
      <c r="D292" s="1" t="s">
        <v>195</v>
      </c>
      <c r="E292" s="1" t="s">
        <v>236</v>
      </c>
      <c r="F292" s="1" t="s">
        <v>86</v>
      </c>
      <c r="G292" s="1" t="s">
        <v>213</v>
      </c>
      <c r="H292" s="1" t="s">
        <v>214</v>
      </c>
      <c r="I292" s="1" t="s">
        <v>107</v>
      </c>
      <c r="J292" s="1">
        <v>4</v>
      </c>
      <c r="K292" s="2">
        <v>1899</v>
      </c>
      <c r="L292" s="5">
        <v>6836.4</v>
      </c>
      <c r="M292" s="5">
        <v>2266</v>
      </c>
      <c r="N292" s="1" t="s">
        <v>45</v>
      </c>
      <c r="O292" s="1" t="s">
        <v>22</v>
      </c>
      <c r="P292" s="1" t="str">
        <f t="shared" si="4"/>
        <v>Medium Value</v>
      </c>
    </row>
    <row r="293" spans="1:16" x14ac:dyDescent="0.35">
      <c r="A293" s="3" t="s">
        <v>645</v>
      </c>
      <c r="B293" s="4">
        <v>45680</v>
      </c>
      <c r="C293" s="1" t="s">
        <v>392</v>
      </c>
      <c r="D293" s="1" t="s">
        <v>393</v>
      </c>
      <c r="E293" s="1" t="s">
        <v>41</v>
      </c>
      <c r="F293" s="1" t="s">
        <v>17</v>
      </c>
      <c r="G293" s="1" t="s">
        <v>87</v>
      </c>
      <c r="H293" s="1" t="s">
        <v>88</v>
      </c>
      <c r="I293" s="1" t="s">
        <v>52</v>
      </c>
      <c r="J293" s="1">
        <v>6</v>
      </c>
      <c r="K293" s="2">
        <v>6499</v>
      </c>
      <c r="L293" s="5">
        <v>31195.200000000001</v>
      </c>
      <c r="M293" s="5">
        <v>4326.1000000000004</v>
      </c>
      <c r="N293" s="1" t="s">
        <v>89</v>
      </c>
      <c r="O293" s="1" t="s">
        <v>22</v>
      </c>
      <c r="P293" s="1" t="str">
        <f t="shared" si="4"/>
        <v>High Value</v>
      </c>
    </row>
    <row r="294" spans="1:16" x14ac:dyDescent="0.35">
      <c r="A294" s="3" t="s">
        <v>646</v>
      </c>
      <c r="B294" s="4">
        <v>45859</v>
      </c>
      <c r="C294" s="1" t="s">
        <v>647</v>
      </c>
      <c r="D294" s="1" t="s">
        <v>648</v>
      </c>
      <c r="E294" s="1" t="s">
        <v>26</v>
      </c>
      <c r="F294" s="1" t="s">
        <v>27</v>
      </c>
      <c r="G294" s="1" t="s">
        <v>87</v>
      </c>
      <c r="H294" s="1" t="s">
        <v>88</v>
      </c>
      <c r="I294" s="1" t="s">
        <v>52</v>
      </c>
      <c r="J294" s="1">
        <v>3</v>
      </c>
      <c r="K294" s="2">
        <v>6499</v>
      </c>
      <c r="L294" s="5">
        <v>18522.150000000001</v>
      </c>
      <c r="M294" s="5">
        <v>3286.16</v>
      </c>
      <c r="N294" s="1" t="s">
        <v>59</v>
      </c>
      <c r="O294" s="1" t="s">
        <v>90</v>
      </c>
      <c r="P294" s="1" t="str">
        <f t="shared" si="4"/>
        <v>High Value</v>
      </c>
    </row>
    <row r="295" spans="1:16" x14ac:dyDescent="0.35">
      <c r="A295" s="3" t="s">
        <v>649</v>
      </c>
      <c r="B295" s="4">
        <v>46016</v>
      </c>
      <c r="C295" s="1" t="s">
        <v>299</v>
      </c>
      <c r="D295" s="1" t="s">
        <v>300</v>
      </c>
      <c r="E295" s="1" t="s">
        <v>111</v>
      </c>
      <c r="F295" s="1" t="s">
        <v>112</v>
      </c>
      <c r="G295" s="1" t="s">
        <v>50</v>
      </c>
      <c r="H295" s="1" t="s">
        <v>51</v>
      </c>
      <c r="I295" s="1" t="s">
        <v>52</v>
      </c>
      <c r="J295" s="1">
        <v>5</v>
      </c>
      <c r="K295" s="2">
        <v>7999</v>
      </c>
      <c r="L295" s="5">
        <v>39995</v>
      </c>
      <c r="M295" s="5">
        <v>13101.64</v>
      </c>
      <c r="N295" s="1" t="s">
        <v>45</v>
      </c>
      <c r="O295" s="1" t="s">
        <v>136</v>
      </c>
      <c r="P295" s="1" t="str">
        <f t="shared" si="4"/>
        <v>High Value</v>
      </c>
    </row>
    <row r="296" spans="1:16" x14ac:dyDescent="0.35">
      <c r="A296" s="3" t="s">
        <v>650</v>
      </c>
      <c r="B296" s="4">
        <v>45713</v>
      </c>
      <c r="C296" s="1" t="s">
        <v>66</v>
      </c>
      <c r="D296" s="1" t="s">
        <v>67</v>
      </c>
      <c r="E296" s="1" t="s">
        <v>94</v>
      </c>
      <c r="F296" s="1" t="s">
        <v>27</v>
      </c>
      <c r="G296" s="1" t="s">
        <v>198</v>
      </c>
      <c r="H296" s="1" t="s">
        <v>199</v>
      </c>
      <c r="I296" s="1" t="s">
        <v>37</v>
      </c>
      <c r="J296" s="1">
        <v>8</v>
      </c>
      <c r="K296" s="2">
        <v>699</v>
      </c>
      <c r="L296" s="5">
        <v>5312.4</v>
      </c>
      <c r="M296" s="5">
        <v>1112.5899999999999</v>
      </c>
      <c r="N296" s="1" t="s">
        <v>21</v>
      </c>
      <c r="O296" s="1" t="s">
        <v>22</v>
      </c>
      <c r="P296" s="1" t="str">
        <f t="shared" si="4"/>
        <v>Medium Value</v>
      </c>
    </row>
    <row r="297" spans="1:16" x14ac:dyDescent="0.35">
      <c r="A297" s="3" t="s">
        <v>651</v>
      </c>
      <c r="B297" s="4">
        <v>45889</v>
      </c>
      <c r="C297" s="1" t="s">
        <v>511</v>
      </c>
      <c r="D297" s="1" t="s">
        <v>512</v>
      </c>
      <c r="E297" s="1" t="s">
        <v>172</v>
      </c>
      <c r="F297" s="1" t="s">
        <v>173</v>
      </c>
      <c r="G297" s="1" t="s">
        <v>57</v>
      </c>
      <c r="H297" s="1" t="s">
        <v>58</v>
      </c>
      <c r="I297" s="1" t="s">
        <v>44</v>
      </c>
      <c r="J297" s="1">
        <v>2</v>
      </c>
      <c r="K297" s="2">
        <v>359</v>
      </c>
      <c r="L297" s="5">
        <v>718</v>
      </c>
      <c r="M297" s="5">
        <v>213.73</v>
      </c>
      <c r="N297" s="1" t="s">
        <v>59</v>
      </c>
      <c r="O297" s="1" t="s">
        <v>136</v>
      </c>
      <c r="P297" s="1" t="str">
        <f t="shared" si="4"/>
        <v>Low Value</v>
      </c>
    </row>
    <row r="298" spans="1:16" x14ac:dyDescent="0.35">
      <c r="A298" s="3" t="s">
        <v>652</v>
      </c>
      <c r="B298" s="4">
        <v>45966</v>
      </c>
      <c r="C298" s="1" t="s">
        <v>185</v>
      </c>
      <c r="D298" s="1" t="s">
        <v>186</v>
      </c>
      <c r="E298" s="1" t="s">
        <v>236</v>
      </c>
      <c r="F298" s="1" t="s">
        <v>86</v>
      </c>
      <c r="G298" s="1" t="s">
        <v>42</v>
      </c>
      <c r="H298" s="1" t="s">
        <v>43</v>
      </c>
      <c r="I298" s="1" t="s">
        <v>44</v>
      </c>
      <c r="J298" s="1">
        <v>3</v>
      </c>
      <c r="K298" s="2">
        <v>809</v>
      </c>
      <c r="L298" s="5">
        <v>1941.6</v>
      </c>
      <c r="M298" s="5">
        <v>339.02</v>
      </c>
      <c r="N298" s="1" t="s">
        <v>59</v>
      </c>
      <c r="O298" s="1" t="s">
        <v>22</v>
      </c>
      <c r="P298" s="1" t="str">
        <f t="shared" si="4"/>
        <v>Low Value</v>
      </c>
    </row>
    <row r="299" spans="1:16" x14ac:dyDescent="0.35">
      <c r="A299" s="3" t="s">
        <v>653</v>
      </c>
      <c r="B299" s="4">
        <v>46004</v>
      </c>
      <c r="C299" s="1" t="s">
        <v>654</v>
      </c>
      <c r="D299" s="1" t="s">
        <v>655</v>
      </c>
      <c r="E299" s="1" t="s">
        <v>68</v>
      </c>
      <c r="F299" s="1" t="s">
        <v>69</v>
      </c>
      <c r="G299" s="1" t="s">
        <v>198</v>
      </c>
      <c r="H299" s="1" t="s">
        <v>199</v>
      </c>
      <c r="I299" s="1" t="s">
        <v>37</v>
      </c>
      <c r="J299" s="1">
        <v>1</v>
      </c>
      <c r="K299" s="2">
        <v>699</v>
      </c>
      <c r="L299" s="5">
        <v>629.1</v>
      </c>
      <c r="M299" s="5">
        <v>152.44</v>
      </c>
      <c r="N299" s="1" t="s">
        <v>21</v>
      </c>
      <c r="O299" s="1" t="s">
        <v>22</v>
      </c>
      <c r="P299" s="1" t="str">
        <f t="shared" si="4"/>
        <v>Low Value</v>
      </c>
    </row>
    <row r="300" spans="1:16" x14ac:dyDescent="0.35">
      <c r="A300" s="3" t="s">
        <v>656</v>
      </c>
      <c r="B300" s="4">
        <v>45710</v>
      </c>
      <c r="C300" s="1" t="s">
        <v>483</v>
      </c>
      <c r="D300" s="1" t="s">
        <v>484</v>
      </c>
      <c r="E300" s="1" t="s">
        <v>94</v>
      </c>
      <c r="F300" s="1" t="s">
        <v>27</v>
      </c>
      <c r="G300" s="1" t="s">
        <v>63</v>
      </c>
      <c r="H300" s="1" t="s">
        <v>64</v>
      </c>
      <c r="I300" s="1" t="s">
        <v>20</v>
      </c>
      <c r="J300" s="1">
        <v>1</v>
      </c>
      <c r="K300" s="2">
        <v>599</v>
      </c>
      <c r="L300" s="5">
        <v>599</v>
      </c>
      <c r="M300" s="5">
        <v>97.99</v>
      </c>
      <c r="N300" s="1" t="s">
        <v>113</v>
      </c>
      <c r="O300" s="1" t="s">
        <v>22</v>
      </c>
      <c r="P300" s="1" t="str">
        <f t="shared" si="4"/>
        <v>Low Value</v>
      </c>
    </row>
    <row r="301" spans="1:16" x14ac:dyDescent="0.35">
      <c r="A301" s="3" t="s">
        <v>657</v>
      </c>
      <c r="B301" s="4">
        <v>45988</v>
      </c>
      <c r="C301" s="1" t="s">
        <v>229</v>
      </c>
      <c r="D301" s="1" t="s">
        <v>230</v>
      </c>
      <c r="E301" s="1" t="s">
        <v>68</v>
      </c>
      <c r="F301" s="1" t="s">
        <v>69</v>
      </c>
      <c r="G301" s="1" t="s">
        <v>182</v>
      </c>
      <c r="H301" s="1" t="s">
        <v>183</v>
      </c>
      <c r="I301" s="1" t="s">
        <v>20</v>
      </c>
      <c r="J301" s="1">
        <v>1</v>
      </c>
      <c r="K301" s="2">
        <v>1619</v>
      </c>
      <c r="L301" s="5">
        <v>1619</v>
      </c>
      <c r="M301" s="5">
        <v>515.73</v>
      </c>
      <c r="N301" s="1" t="s">
        <v>113</v>
      </c>
      <c r="O301" s="1" t="s">
        <v>136</v>
      </c>
      <c r="P301" s="1" t="str">
        <f t="shared" si="4"/>
        <v>Low Value</v>
      </c>
    </row>
    <row r="302" spans="1:16" x14ac:dyDescent="0.35">
      <c r="A302" s="3" t="s">
        <v>658</v>
      </c>
      <c r="B302" s="4">
        <v>45827</v>
      </c>
      <c r="C302" s="1" t="s">
        <v>608</v>
      </c>
      <c r="D302" s="1" t="s">
        <v>609</v>
      </c>
      <c r="E302" s="1" t="s">
        <v>26</v>
      </c>
      <c r="F302" s="1" t="s">
        <v>27</v>
      </c>
      <c r="G302" s="1" t="s">
        <v>50</v>
      </c>
      <c r="H302" s="1" t="s">
        <v>51</v>
      </c>
      <c r="I302" s="1" t="s">
        <v>52</v>
      </c>
      <c r="J302" s="1">
        <v>1</v>
      </c>
      <c r="K302" s="2">
        <v>7999</v>
      </c>
      <c r="L302" s="5">
        <v>6799.15</v>
      </c>
      <c r="M302" s="5">
        <v>1463.82</v>
      </c>
      <c r="N302" s="1" t="s">
        <v>113</v>
      </c>
      <c r="O302" s="1" t="s">
        <v>22</v>
      </c>
      <c r="P302" s="1" t="str">
        <f t="shared" si="4"/>
        <v>Medium Value</v>
      </c>
    </row>
    <row r="303" spans="1:16" x14ac:dyDescent="0.35">
      <c r="A303" s="3" t="s">
        <v>659</v>
      </c>
      <c r="B303" s="4">
        <v>46007</v>
      </c>
      <c r="C303" s="1" t="s">
        <v>78</v>
      </c>
      <c r="D303" s="1" t="s">
        <v>79</v>
      </c>
      <c r="E303" s="1" t="s">
        <v>101</v>
      </c>
      <c r="F303" s="1" t="s">
        <v>86</v>
      </c>
      <c r="G303" s="1" t="s">
        <v>95</v>
      </c>
      <c r="H303" s="1" t="s">
        <v>96</v>
      </c>
      <c r="I303" s="1" t="s">
        <v>97</v>
      </c>
      <c r="J303" s="1">
        <v>4</v>
      </c>
      <c r="K303" s="2">
        <v>249</v>
      </c>
      <c r="L303" s="5">
        <v>946.2</v>
      </c>
      <c r="M303" s="5">
        <v>171.8</v>
      </c>
      <c r="N303" s="1" t="s">
        <v>45</v>
      </c>
      <c r="O303" s="1" t="s">
        <v>22</v>
      </c>
      <c r="P303" s="1" t="str">
        <f t="shared" si="4"/>
        <v>Low Value</v>
      </c>
    </row>
    <row r="304" spans="1:16" x14ac:dyDescent="0.35">
      <c r="A304" s="3" t="s">
        <v>660</v>
      </c>
      <c r="B304" s="4">
        <v>45973</v>
      </c>
      <c r="C304" s="1" t="s">
        <v>283</v>
      </c>
      <c r="D304" s="1" t="s">
        <v>284</v>
      </c>
      <c r="E304" s="1" t="s">
        <v>49</v>
      </c>
      <c r="F304" s="1" t="s">
        <v>49</v>
      </c>
      <c r="G304" s="1" t="s">
        <v>105</v>
      </c>
      <c r="H304" s="1" t="s">
        <v>106</v>
      </c>
      <c r="I304" s="1" t="s">
        <v>107</v>
      </c>
      <c r="J304" s="1">
        <v>7</v>
      </c>
      <c r="K304" s="2">
        <v>1049</v>
      </c>
      <c r="L304" s="5">
        <v>6608.7</v>
      </c>
      <c r="M304" s="5">
        <v>881.7</v>
      </c>
      <c r="N304" s="1" t="s">
        <v>59</v>
      </c>
      <c r="O304" s="1" t="s">
        <v>22</v>
      </c>
      <c r="P304" s="1" t="str">
        <f t="shared" si="4"/>
        <v>Medium Value</v>
      </c>
    </row>
    <row r="305" spans="1:16" x14ac:dyDescent="0.35">
      <c r="A305" s="3" t="s">
        <v>661</v>
      </c>
      <c r="B305" s="4">
        <v>45760</v>
      </c>
      <c r="C305" s="1" t="s">
        <v>662</v>
      </c>
      <c r="D305" s="1" t="s">
        <v>663</v>
      </c>
      <c r="E305" s="1" t="s">
        <v>41</v>
      </c>
      <c r="F305" s="1" t="s">
        <v>17</v>
      </c>
      <c r="G305" s="1" t="s">
        <v>35</v>
      </c>
      <c r="H305" s="1" t="s">
        <v>36</v>
      </c>
      <c r="I305" s="1" t="s">
        <v>37</v>
      </c>
      <c r="J305" s="1">
        <v>1</v>
      </c>
      <c r="K305" s="2">
        <v>1299</v>
      </c>
      <c r="L305" s="5">
        <v>1039.2</v>
      </c>
      <c r="M305" s="5">
        <v>206.81</v>
      </c>
      <c r="N305" s="1" t="s">
        <v>21</v>
      </c>
      <c r="O305" s="1" t="s">
        <v>136</v>
      </c>
      <c r="P305" s="1" t="str">
        <f t="shared" si="4"/>
        <v>Low Value</v>
      </c>
    </row>
    <row r="306" spans="1:16" x14ac:dyDescent="0.35">
      <c r="A306" s="3" t="s">
        <v>664</v>
      </c>
      <c r="B306" s="4">
        <v>45947</v>
      </c>
      <c r="C306" s="1" t="s">
        <v>557</v>
      </c>
      <c r="D306" s="1" t="s">
        <v>558</v>
      </c>
      <c r="E306" s="1" t="s">
        <v>111</v>
      </c>
      <c r="F306" s="1" t="s">
        <v>112</v>
      </c>
      <c r="G306" s="1" t="s">
        <v>262</v>
      </c>
      <c r="H306" s="1" t="s">
        <v>263</v>
      </c>
      <c r="I306" s="1" t="s">
        <v>97</v>
      </c>
      <c r="J306" s="1">
        <v>5</v>
      </c>
      <c r="K306" s="2">
        <v>149</v>
      </c>
      <c r="L306" s="5">
        <v>745</v>
      </c>
      <c r="M306" s="5">
        <v>141.66</v>
      </c>
      <c r="N306" s="1" t="s">
        <v>45</v>
      </c>
      <c r="O306" s="1" t="s">
        <v>22</v>
      </c>
      <c r="P306" s="1" t="str">
        <f t="shared" si="4"/>
        <v>Low Value</v>
      </c>
    </row>
    <row r="307" spans="1:16" x14ac:dyDescent="0.35">
      <c r="A307" s="3" t="s">
        <v>665</v>
      </c>
      <c r="B307" s="4">
        <v>45687</v>
      </c>
      <c r="C307" s="1" t="s">
        <v>666</v>
      </c>
      <c r="D307" s="1" t="s">
        <v>667</v>
      </c>
      <c r="E307" s="1" t="s">
        <v>41</v>
      </c>
      <c r="F307" s="1" t="s">
        <v>17</v>
      </c>
      <c r="G307" s="1" t="s">
        <v>95</v>
      </c>
      <c r="H307" s="1" t="s">
        <v>96</v>
      </c>
      <c r="I307" s="1" t="s">
        <v>97</v>
      </c>
      <c r="J307" s="1">
        <v>4</v>
      </c>
      <c r="K307" s="2">
        <v>249</v>
      </c>
      <c r="L307" s="5">
        <v>996</v>
      </c>
      <c r="M307" s="5">
        <v>173.83</v>
      </c>
      <c r="N307" s="1" t="s">
        <v>45</v>
      </c>
      <c r="O307" s="1" t="s">
        <v>22</v>
      </c>
      <c r="P307" s="1" t="str">
        <f t="shared" si="4"/>
        <v>Low Value</v>
      </c>
    </row>
    <row r="308" spans="1:16" x14ac:dyDescent="0.35">
      <c r="A308" s="3" t="s">
        <v>668</v>
      </c>
      <c r="B308" s="4">
        <v>45686</v>
      </c>
      <c r="C308" s="1" t="s">
        <v>669</v>
      </c>
      <c r="D308" s="1" t="s">
        <v>670</v>
      </c>
      <c r="E308" s="1" t="s">
        <v>145</v>
      </c>
      <c r="F308" s="1" t="s">
        <v>0</v>
      </c>
      <c r="G308" s="1" t="s">
        <v>95</v>
      </c>
      <c r="H308" s="1" t="s">
        <v>96</v>
      </c>
      <c r="I308" s="1" t="s">
        <v>97</v>
      </c>
      <c r="J308" s="1">
        <v>3</v>
      </c>
      <c r="K308" s="2">
        <v>249</v>
      </c>
      <c r="L308" s="5">
        <v>747</v>
      </c>
      <c r="M308" s="5">
        <v>187.01</v>
      </c>
      <c r="N308" s="1" t="s">
        <v>59</v>
      </c>
      <c r="O308" s="1" t="s">
        <v>90</v>
      </c>
      <c r="P308" s="1" t="str">
        <f t="shared" si="4"/>
        <v>Low Value</v>
      </c>
    </row>
    <row r="309" spans="1:16" x14ac:dyDescent="0.35">
      <c r="A309" s="3" t="s">
        <v>671</v>
      </c>
      <c r="B309" s="4">
        <v>46018</v>
      </c>
      <c r="C309" s="1" t="s">
        <v>291</v>
      </c>
      <c r="D309" s="1" t="s">
        <v>292</v>
      </c>
      <c r="E309" s="1" t="s">
        <v>312</v>
      </c>
      <c r="F309" s="1" t="s">
        <v>112</v>
      </c>
      <c r="G309" s="1" t="s">
        <v>28</v>
      </c>
      <c r="H309" s="1" t="s">
        <v>29</v>
      </c>
      <c r="I309" s="1" t="s">
        <v>30</v>
      </c>
      <c r="J309" s="1">
        <v>3</v>
      </c>
      <c r="K309" s="2">
        <v>1679</v>
      </c>
      <c r="L309" s="5">
        <v>5037</v>
      </c>
      <c r="M309" s="5">
        <v>1531.62</v>
      </c>
      <c r="N309" s="1" t="s">
        <v>113</v>
      </c>
      <c r="O309" s="1" t="s">
        <v>22</v>
      </c>
      <c r="P309" s="1" t="str">
        <f t="shared" si="4"/>
        <v>Medium Value</v>
      </c>
    </row>
    <row r="310" spans="1:16" x14ac:dyDescent="0.35">
      <c r="A310" s="3" t="s">
        <v>672</v>
      </c>
      <c r="B310" s="4">
        <v>45909</v>
      </c>
      <c r="C310" s="1" t="s">
        <v>279</v>
      </c>
      <c r="D310" s="1" t="s">
        <v>280</v>
      </c>
      <c r="E310" s="1" t="s">
        <v>34</v>
      </c>
      <c r="F310" s="1" t="s">
        <v>27</v>
      </c>
      <c r="G310" s="1" t="s">
        <v>177</v>
      </c>
      <c r="H310" s="1" t="s">
        <v>178</v>
      </c>
      <c r="I310" s="1" t="s">
        <v>20</v>
      </c>
      <c r="J310" s="1">
        <v>4</v>
      </c>
      <c r="K310" s="2">
        <v>2624</v>
      </c>
      <c r="L310" s="5">
        <v>10496</v>
      </c>
      <c r="M310" s="5">
        <v>1305.54</v>
      </c>
      <c r="N310" s="1" t="s">
        <v>113</v>
      </c>
      <c r="O310" s="1" t="s">
        <v>22</v>
      </c>
      <c r="P310" s="1" t="str">
        <f t="shared" si="4"/>
        <v>High Value</v>
      </c>
    </row>
    <row r="311" spans="1:16" x14ac:dyDescent="0.35">
      <c r="A311" s="3" t="s">
        <v>673</v>
      </c>
      <c r="B311" s="4">
        <v>45761</v>
      </c>
      <c r="C311" s="1" t="s">
        <v>338</v>
      </c>
      <c r="D311" s="1" t="s">
        <v>339</v>
      </c>
      <c r="E311" s="1" t="s">
        <v>111</v>
      </c>
      <c r="F311" s="1" t="s">
        <v>112</v>
      </c>
      <c r="G311" s="1" t="s">
        <v>198</v>
      </c>
      <c r="H311" s="1" t="s">
        <v>199</v>
      </c>
      <c r="I311" s="1" t="s">
        <v>37</v>
      </c>
      <c r="J311" s="1">
        <v>6</v>
      </c>
      <c r="K311" s="2">
        <v>629</v>
      </c>
      <c r="L311" s="5">
        <v>3774</v>
      </c>
      <c r="M311" s="5">
        <v>575.52</v>
      </c>
      <c r="N311" s="1" t="s">
        <v>45</v>
      </c>
      <c r="O311" s="1" t="s">
        <v>136</v>
      </c>
      <c r="P311" s="1" t="str">
        <f t="shared" si="4"/>
        <v>Low Value</v>
      </c>
    </row>
    <row r="312" spans="1:16" x14ac:dyDescent="0.35">
      <c r="A312" s="3" t="s">
        <v>674</v>
      </c>
      <c r="B312" s="4">
        <v>45844</v>
      </c>
      <c r="C312" s="1" t="s">
        <v>371</v>
      </c>
      <c r="D312" s="1" t="s">
        <v>372</v>
      </c>
      <c r="E312" s="1" t="s">
        <v>312</v>
      </c>
      <c r="F312" s="1" t="s">
        <v>112</v>
      </c>
      <c r="G312" s="1" t="s">
        <v>262</v>
      </c>
      <c r="H312" s="1" t="s">
        <v>263</v>
      </c>
      <c r="I312" s="1" t="s">
        <v>97</v>
      </c>
      <c r="J312" s="1">
        <v>2</v>
      </c>
      <c r="K312" s="2">
        <v>149</v>
      </c>
      <c r="L312" s="5">
        <v>283.10000000000002</v>
      </c>
      <c r="M312" s="5">
        <v>54.06</v>
      </c>
      <c r="N312" s="1" t="s">
        <v>45</v>
      </c>
      <c r="O312" s="1" t="s">
        <v>22</v>
      </c>
      <c r="P312" s="1" t="str">
        <f t="shared" si="4"/>
        <v>Low Value</v>
      </c>
    </row>
    <row r="313" spans="1:16" x14ac:dyDescent="0.35">
      <c r="A313" s="3" t="s">
        <v>675</v>
      </c>
      <c r="B313" s="4">
        <v>45985</v>
      </c>
      <c r="C313" s="1" t="s">
        <v>676</v>
      </c>
      <c r="D313" s="1" t="s">
        <v>677</v>
      </c>
      <c r="E313" s="1" t="s">
        <v>111</v>
      </c>
      <c r="F313" s="1" t="s">
        <v>112</v>
      </c>
      <c r="G313" s="1" t="s">
        <v>198</v>
      </c>
      <c r="H313" s="1" t="s">
        <v>199</v>
      </c>
      <c r="I313" s="1" t="s">
        <v>37</v>
      </c>
      <c r="J313" s="1">
        <v>6</v>
      </c>
      <c r="K313" s="2">
        <v>699</v>
      </c>
      <c r="L313" s="5">
        <v>3355.2</v>
      </c>
      <c r="M313" s="5">
        <v>837.35</v>
      </c>
      <c r="N313" s="1" t="s">
        <v>45</v>
      </c>
      <c r="O313" s="1" t="s">
        <v>22</v>
      </c>
      <c r="P313" s="1" t="str">
        <f t="shared" si="4"/>
        <v>Low Value</v>
      </c>
    </row>
    <row r="314" spans="1:16" x14ac:dyDescent="0.35">
      <c r="A314" s="3" t="s">
        <v>678</v>
      </c>
      <c r="B314" s="4">
        <v>46010</v>
      </c>
      <c r="C314" s="1" t="s">
        <v>423</v>
      </c>
      <c r="D314" s="1" t="s">
        <v>424</v>
      </c>
      <c r="E314" s="1" t="s">
        <v>85</v>
      </c>
      <c r="F314" s="1" t="s">
        <v>86</v>
      </c>
      <c r="G314" s="1" t="s">
        <v>198</v>
      </c>
      <c r="H314" s="1" t="s">
        <v>199</v>
      </c>
      <c r="I314" s="1" t="s">
        <v>37</v>
      </c>
      <c r="J314" s="1">
        <v>1</v>
      </c>
      <c r="K314" s="2">
        <v>769</v>
      </c>
      <c r="L314" s="5">
        <v>653.65</v>
      </c>
      <c r="M314" s="5">
        <v>134.75</v>
      </c>
      <c r="N314" s="1" t="s">
        <v>21</v>
      </c>
      <c r="O314" s="1" t="s">
        <v>22</v>
      </c>
      <c r="P314" s="1" t="str">
        <f t="shared" si="4"/>
        <v>Low Value</v>
      </c>
    </row>
    <row r="315" spans="1:16" x14ac:dyDescent="0.35">
      <c r="A315" s="3" t="s">
        <v>679</v>
      </c>
      <c r="B315" s="4">
        <v>45820</v>
      </c>
      <c r="C315" s="1" t="s">
        <v>460</v>
      </c>
      <c r="D315" s="1" t="s">
        <v>461</v>
      </c>
      <c r="E315" s="1" t="s">
        <v>141</v>
      </c>
      <c r="F315" s="1" t="s">
        <v>69</v>
      </c>
      <c r="G315" s="1" t="s">
        <v>28</v>
      </c>
      <c r="H315" s="1" t="s">
        <v>29</v>
      </c>
      <c r="I315" s="1" t="s">
        <v>30</v>
      </c>
      <c r="J315" s="1">
        <v>2</v>
      </c>
      <c r="K315" s="2">
        <v>1599</v>
      </c>
      <c r="L315" s="5">
        <v>3198</v>
      </c>
      <c r="M315" s="5">
        <v>616.76</v>
      </c>
      <c r="N315" s="1" t="s">
        <v>89</v>
      </c>
      <c r="O315" s="1" t="s">
        <v>22</v>
      </c>
      <c r="P315" s="1" t="str">
        <f t="shared" si="4"/>
        <v>Low Value</v>
      </c>
    </row>
    <row r="316" spans="1:16" x14ac:dyDescent="0.35">
      <c r="A316" s="3" t="s">
        <v>680</v>
      </c>
      <c r="B316" s="4">
        <v>45743</v>
      </c>
      <c r="C316" s="1" t="s">
        <v>681</v>
      </c>
      <c r="D316" s="1" t="s">
        <v>682</v>
      </c>
      <c r="E316" s="1" t="s">
        <v>34</v>
      </c>
      <c r="F316" s="1" t="s">
        <v>27</v>
      </c>
      <c r="G316" s="1" t="s">
        <v>42</v>
      </c>
      <c r="H316" s="1" t="s">
        <v>43</v>
      </c>
      <c r="I316" s="1" t="s">
        <v>44</v>
      </c>
      <c r="J316" s="1">
        <v>8</v>
      </c>
      <c r="K316" s="2">
        <v>809</v>
      </c>
      <c r="L316" s="5">
        <v>6148.4</v>
      </c>
      <c r="M316" s="5">
        <v>1021.44</v>
      </c>
      <c r="N316" s="1" t="s">
        <v>89</v>
      </c>
      <c r="O316" s="1" t="s">
        <v>22</v>
      </c>
      <c r="P316" s="1" t="str">
        <f t="shared" si="4"/>
        <v>Medium Value</v>
      </c>
    </row>
    <row r="317" spans="1:16" x14ac:dyDescent="0.35">
      <c r="A317" s="3" t="s">
        <v>683</v>
      </c>
      <c r="B317" s="4">
        <v>45658</v>
      </c>
      <c r="C317" s="1" t="s">
        <v>521</v>
      </c>
      <c r="D317" s="1" t="s">
        <v>189</v>
      </c>
      <c r="E317" s="1" t="s">
        <v>145</v>
      </c>
      <c r="F317" s="1" t="s">
        <v>0</v>
      </c>
      <c r="G317" s="1" t="s">
        <v>50</v>
      </c>
      <c r="H317" s="1" t="s">
        <v>51</v>
      </c>
      <c r="I317" s="1" t="s">
        <v>52</v>
      </c>
      <c r="J317" s="1">
        <v>7</v>
      </c>
      <c r="K317" s="2">
        <v>7999</v>
      </c>
      <c r="L317" s="5">
        <v>50393.7</v>
      </c>
      <c r="M317" s="5">
        <v>11513.85</v>
      </c>
      <c r="N317" s="1" t="s">
        <v>113</v>
      </c>
      <c r="O317" s="1" t="s">
        <v>22</v>
      </c>
      <c r="P317" s="1" t="str">
        <f t="shared" si="4"/>
        <v>High Value</v>
      </c>
    </row>
    <row r="318" spans="1:16" x14ac:dyDescent="0.35">
      <c r="A318" s="3" t="s">
        <v>684</v>
      </c>
      <c r="B318" s="4">
        <v>45709</v>
      </c>
      <c r="C318" s="1" t="s">
        <v>534</v>
      </c>
      <c r="D318" s="1" t="s">
        <v>528</v>
      </c>
      <c r="E318" s="1" t="s">
        <v>141</v>
      </c>
      <c r="F318" s="1" t="s">
        <v>69</v>
      </c>
      <c r="G318" s="1" t="s">
        <v>198</v>
      </c>
      <c r="H318" s="1" t="s">
        <v>199</v>
      </c>
      <c r="I318" s="1" t="s">
        <v>37</v>
      </c>
      <c r="J318" s="1">
        <v>8</v>
      </c>
      <c r="K318" s="2">
        <v>629</v>
      </c>
      <c r="L318" s="5">
        <v>5032</v>
      </c>
      <c r="M318" s="5">
        <v>930.32</v>
      </c>
      <c r="N318" s="1" t="s">
        <v>59</v>
      </c>
      <c r="O318" s="1" t="s">
        <v>22</v>
      </c>
      <c r="P318" s="1" t="str">
        <f t="shared" si="4"/>
        <v>Medium Value</v>
      </c>
    </row>
    <row r="319" spans="1:16" x14ac:dyDescent="0.35">
      <c r="A319" s="3" t="s">
        <v>685</v>
      </c>
      <c r="B319" s="4">
        <v>45695</v>
      </c>
      <c r="C319" s="1" t="s">
        <v>265</v>
      </c>
      <c r="D319" s="1" t="s">
        <v>266</v>
      </c>
      <c r="E319" s="1" t="s">
        <v>101</v>
      </c>
      <c r="F319" s="1" t="s">
        <v>86</v>
      </c>
      <c r="G319" s="1" t="s">
        <v>262</v>
      </c>
      <c r="H319" s="1" t="s">
        <v>263</v>
      </c>
      <c r="I319" s="1" t="s">
        <v>97</v>
      </c>
      <c r="J319" s="1">
        <v>3</v>
      </c>
      <c r="K319" s="2">
        <v>164</v>
      </c>
      <c r="L319" s="5">
        <v>492</v>
      </c>
      <c r="M319" s="5">
        <v>118.25</v>
      </c>
      <c r="N319" s="1" t="s">
        <v>89</v>
      </c>
      <c r="O319" s="1" t="s">
        <v>22</v>
      </c>
      <c r="P319" s="1" t="str">
        <f t="shared" si="4"/>
        <v>Low Value</v>
      </c>
    </row>
    <row r="320" spans="1:16" x14ac:dyDescent="0.35">
      <c r="A320" s="3" t="s">
        <v>686</v>
      </c>
      <c r="B320" s="4">
        <v>45905</v>
      </c>
      <c r="C320" s="1" t="s">
        <v>115</v>
      </c>
      <c r="D320" s="1" t="s">
        <v>116</v>
      </c>
      <c r="E320" s="1" t="s">
        <v>75</v>
      </c>
      <c r="F320" s="1" t="s">
        <v>76</v>
      </c>
      <c r="G320" s="1" t="s">
        <v>198</v>
      </c>
      <c r="H320" s="1" t="s">
        <v>199</v>
      </c>
      <c r="I320" s="1" t="s">
        <v>37</v>
      </c>
      <c r="J320" s="1">
        <v>7</v>
      </c>
      <c r="K320" s="2">
        <v>699</v>
      </c>
      <c r="L320" s="5">
        <v>4893</v>
      </c>
      <c r="M320" s="5">
        <v>696.16</v>
      </c>
      <c r="N320" s="1" t="s">
        <v>45</v>
      </c>
      <c r="O320" s="1" t="s">
        <v>53</v>
      </c>
      <c r="P320" s="1" t="str">
        <f t="shared" si="4"/>
        <v>Low Value</v>
      </c>
    </row>
    <row r="321" spans="1:16" x14ac:dyDescent="0.35">
      <c r="A321" s="3" t="s">
        <v>687</v>
      </c>
      <c r="B321" s="4">
        <v>46014</v>
      </c>
      <c r="C321" s="1" t="s">
        <v>83</v>
      </c>
      <c r="D321" s="1" t="s">
        <v>84</v>
      </c>
      <c r="E321" s="1" t="s">
        <v>80</v>
      </c>
      <c r="F321" s="1" t="s">
        <v>81</v>
      </c>
      <c r="G321" s="1" t="s">
        <v>57</v>
      </c>
      <c r="H321" s="1" t="s">
        <v>58</v>
      </c>
      <c r="I321" s="1" t="s">
        <v>44</v>
      </c>
      <c r="J321" s="1">
        <v>5</v>
      </c>
      <c r="K321" s="2">
        <v>399</v>
      </c>
      <c r="L321" s="5">
        <v>1995</v>
      </c>
      <c r="M321" s="5">
        <v>281.5</v>
      </c>
      <c r="N321" s="1" t="s">
        <v>113</v>
      </c>
      <c r="O321" s="1" t="s">
        <v>22</v>
      </c>
      <c r="P321" s="1" t="str">
        <f t="shared" si="4"/>
        <v>Low Value</v>
      </c>
    </row>
    <row r="322" spans="1:16" x14ac:dyDescent="0.35">
      <c r="A322" s="3" t="s">
        <v>688</v>
      </c>
      <c r="B322" s="4">
        <v>45736</v>
      </c>
      <c r="C322" s="1" t="s">
        <v>531</v>
      </c>
      <c r="D322" s="1" t="s">
        <v>532</v>
      </c>
      <c r="E322" s="1" t="s">
        <v>312</v>
      </c>
      <c r="F322" s="1" t="s">
        <v>112</v>
      </c>
      <c r="G322" s="1" t="s">
        <v>63</v>
      </c>
      <c r="H322" s="1" t="s">
        <v>64</v>
      </c>
      <c r="I322" s="1" t="s">
        <v>20</v>
      </c>
      <c r="J322" s="1">
        <v>7</v>
      </c>
      <c r="K322" s="2">
        <v>539</v>
      </c>
      <c r="L322" s="5">
        <v>3584.35</v>
      </c>
      <c r="M322" s="5">
        <v>1079.81</v>
      </c>
      <c r="N322" s="1" t="s">
        <v>21</v>
      </c>
      <c r="O322" s="1" t="s">
        <v>22</v>
      </c>
      <c r="P322" s="1" t="str">
        <f t="shared" ref="P322:P385" si="5">IF(L322&gt;=10000,"High Value",IF(L322&gt;=5000,"Medium Value","Low Value"))</f>
        <v>Low Value</v>
      </c>
    </row>
    <row r="323" spans="1:16" x14ac:dyDescent="0.35">
      <c r="A323" s="3" t="s">
        <v>689</v>
      </c>
      <c r="B323" s="4">
        <v>45671</v>
      </c>
      <c r="C323" s="1" t="s">
        <v>578</v>
      </c>
      <c r="D323" s="1" t="s">
        <v>579</v>
      </c>
      <c r="E323" s="1" t="s">
        <v>101</v>
      </c>
      <c r="F323" s="1" t="s">
        <v>86</v>
      </c>
      <c r="G323" s="1" t="s">
        <v>70</v>
      </c>
      <c r="H323" s="1" t="s">
        <v>71</v>
      </c>
      <c r="I323" s="1" t="s">
        <v>44</v>
      </c>
      <c r="J323" s="1">
        <v>2</v>
      </c>
      <c r="K323" s="2">
        <v>3299</v>
      </c>
      <c r="L323" s="5">
        <v>6598</v>
      </c>
      <c r="M323" s="5">
        <v>1239.3499999999999</v>
      </c>
      <c r="N323" s="1" t="s">
        <v>113</v>
      </c>
      <c r="O323" s="1" t="s">
        <v>22</v>
      </c>
      <c r="P323" s="1" t="str">
        <f t="shared" si="5"/>
        <v>Medium Value</v>
      </c>
    </row>
    <row r="324" spans="1:16" x14ac:dyDescent="0.35">
      <c r="A324" s="3" t="s">
        <v>690</v>
      </c>
      <c r="B324" s="4">
        <v>45793</v>
      </c>
      <c r="C324" s="1" t="s">
        <v>73</v>
      </c>
      <c r="D324" s="1" t="s">
        <v>74</v>
      </c>
      <c r="E324" s="1" t="s">
        <v>80</v>
      </c>
      <c r="F324" s="1" t="s">
        <v>81</v>
      </c>
      <c r="G324" s="1" t="s">
        <v>262</v>
      </c>
      <c r="H324" s="1" t="s">
        <v>263</v>
      </c>
      <c r="I324" s="1" t="s">
        <v>97</v>
      </c>
      <c r="J324" s="1">
        <v>3</v>
      </c>
      <c r="K324" s="2">
        <v>149</v>
      </c>
      <c r="L324" s="5">
        <v>402.3</v>
      </c>
      <c r="M324" s="5">
        <v>80.97</v>
      </c>
      <c r="N324" s="1" t="s">
        <v>113</v>
      </c>
      <c r="O324" s="1" t="s">
        <v>22</v>
      </c>
      <c r="P324" s="1" t="str">
        <f t="shared" si="5"/>
        <v>Low Value</v>
      </c>
    </row>
    <row r="325" spans="1:16" x14ac:dyDescent="0.35">
      <c r="A325" s="3" t="s">
        <v>691</v>
      </c>
      <c r="B325" s="4">
        <v>45896</v>
      </c>
      <c r="C325" s="1" t="s">
        <v>324</v>
      </c>
      <c r="D325" s="1" t="s">
        <v>325</v>
      </c>
      <c r="E325" s="1" t="s">
        <v>141</v>
      </c>
      <c r="F325" s="1" t="s">
        <v>69</v>
      </c>
      <c r="G325" s="1" t="s">
        <v>57</v>
      </c>
      <c r="H325" s="1" t="s">
        <v>58</v>
      </c>
      <c r="I325" s="1" t="s">
        <v>44</v>
      </c>
      <c r="J325" s="1">
        <v>1</v>
      </c>
      <c r="K325" s="2">
        <v>399</v>
      </c>
      <c r="L325" s="5">
        <v>319.2</v>
      </c>
      <c r="M325" s="5">
        <v>85.18</v>
      </c>
      <c r="N325" s="1" t="s">
        <v>89</v>
      </c>
      <c r="O325" s="1" t="s">
        <v>22</v>
      </c>
      <c r="P325" s="1" t="str">
        <f t="shared" si="5"/>
        <v>Low Value</v>
      </c>
    </row>
    <row r="326" spans="1:16" x14ac:dyDescent="0.35">
      <c r="A326" s="3" t="s">
        <v>692</v>
      </c>
      <c r="B326" s="4">
        <v>45869</v>
      </c>
      <c r="C326" s="1" t="s">
        <v>318</v>
      </c>
      <c r="D326" s="1" t="s">
        <v>319</v>
      </c>
      <c r="E326" s="1" t="s">
        <v>141</v>
      </c>
      <c r="F326" s="1" t="s">
        <v>69</v>
      </c>
      <c r="G326" s="1" t="s">
        <v>254</v>
      </c>
      <c r="H326" s="1" t="s">
        <v>255</v>
      </c>
      <c r="I326" s="1" t="s">
        <v>30</v>
      </c>
      <c r="J326" s="1">
        <v>1</v>
      </c>
      <c r="K326" s="2">
        <v>799</v>
      </c>
      <c r="L326" s="5">
        <v>679.15</v>
      </c>
      <c r="M326" s="5">
        <v>144.05000000000001</v>
      </c>
      <c r="N326" s="1" t="s">
        <v>21</v>
      </c>
      <c r="O326" s="1" t="s">
        <v>22</v>
      </c>
      <c r="P326" s="1" t="str">
        <f t="shared" si="5"/>
        <v>Low Value</v>
      </c>
    </row>
    <row r="327" spans="1:16" x14ac:dyDescent="0.35">
      <c r="A327" s="3" t="s">
        <v>693</v>
      </c>
      <c r="B327" s="4">
        <v>45951</v>
      </c>
      <c r="C327" s="1" t="s">
        <v>694</v>
      </c>
      <c r="D327" s="1" t="s">
        <v>695</v>
      </c>
      <c r="E327" s="1" t="s">
        <v>16</v>
      </c>
      <c r="F327" s="1" t="s">
        <v>17</v>
      </c>
      <c r="G327" s="1" t="s">
        <v>70</v>
      </c>
      <c r="H327" s="1" t="s">
        <v>71</v>
      </c>
      <c r="I327" s="1" t="s">
        <v>44</v>
      </c>
      <c r="J327" s="1">
        <v>2</v>
      </c>
      <c r="K327" s="2">
        <v>3299</v>
      </c>
      <c r="L327" s="5">
        <v>5278.4</v>
      </c>
      <c r="M327" s="5">
        <v>673.74</v>
      </c>
      <c r="N327" s="1" t="s">
        <v>21</v>
      </c>
      <c r="O327" s="1" t="s">
        <v>90</v>
      </c>
      <c r="P327" s="1" t="str">
        <f t="shared" si="5"/>
        <v>Medium Value</v>
      </c>
    </row>
    <row r="328" spans="1:16" x14ac:dyDescent="0.35">
      <c r="A328" s="3" t="s">
        <v>696</v>
      </c>
      <c r="B328" s="4">
        <v>46004</v>
      </c>
      <c r="C328" s="1" t="s">
        <v>359</v>
      </c>
      <c r="D328" s="1" t="s">
        <v>360</v>
      </c>
      <c r="E328" s="1" t="s">
        <v>85</v>
      </c>
      <c r="F328" s="1" t="s">
        <v>86</v>
      </c>
      <c r="G328" s="1" t="s">
        <v>120</v>
      </c>
      <c r="H328" s="1" t="s">
        <v>121</v>
      </c>
      <c r="I328" s="1" t="s">
        <v>20</v>
      </c>
      <c r="J328" s="1">
        <v>8</v>
      </c>
      <c r="K328" s="2">
        <v>1499</v>
      </c>
      <c r="L328" s="5">
        <v>11992</v>
      </c>
      <c r="M328" s="5">
        <v>4003.84</v>
      </c>
      <c r="N328" s="1" t="s">
        <v>45</v>
      </c>
      <c r="O328" s="1" t="s">
        <v>22</v>
      </c>
      <c r="P328" s="1" t="str">
        <f t="shared" si="5"/>
        <v>High Value</v>
      </c>
    </row>
    <row r="329" spans="1:16" x14ac:dyDescent="0.35">
      <c r="A329" s="3" t="s">
        <v>697</v>
      </c>
      <c r="B329" s="4">
        <v>45698</v>
      </c>
      <c r="C329" s="1" t="s">
        <v>296</v>
      </c>
      <c r="D329" s="1" t="s">
        <v>297</v>
      </c>
      <c r="E329" s="1" t="s">
        <v>75</v>
      </c>
      <c r="F329" s="1" t="s">
        <v>76</v>
      </c>
      <c r="G329" s="1" t="s">
        <v>161</v>
      </c>
      <c r="H329" s="1" t="s">
        <v>162</v>
      </c>
      <c r="I329" s="1" t="s">
        <v>37</v>
      </c>
      <c r="J329" s="1">
        <v>3</v>
      </c>
      <c r="K329" s="2">
        <v>2414</v>
      </c>
      <c r="L329" s="5">
        <v>6879.9</v>
      </c>
      <c r="M329" s="5">
        <v>1309.55</v>
      </c>
      <c r="N329" s="1" t="s">
        <v>89</v>
      </c>
      <c r="O329" s="1" t="s">
        <v>22</v>
      </c>
      <c r="P329" s="1" t="str">
        <f t="shared" si="5"/>
        <v>Medium Value</v>
      </c>
    </row>
    <row r="330" spans="1:16" x14ac:dyDescent="0.35">
      <c r="A330" s="3" t="s">
        <v>698</v>
      </c>
      <c r="B330" s="4">
        <v>45861</v>
      </c>
      <c r="C330" s="1" t="s">
        <v>83</v>
      </c>
      <c r="D330" s="1" t="s">
        <v>84</v>
      </c>
      <c r="E330" s="1" t="s">
        <v>111</v>
      </c>
      <c r="F330" s="1" t="s">
        <v>112</v>
      </c>
      <c r="G330" s="1" t="s">
        <v>57</v>
      </c>
      <c r="H330" s="1" t="s">
        <v>58</v>
      </c>
      <c r="I330" s="1" t="s">
        <v>44</v>
      </c>
      <c r="J330" s="1">
        <v>8</v>
      </c>
      <c r="K330" s="2">
        <v>359</v>
      </c>
      <c r="L330" s="5">
        <v>2297.6</v>
      </c>
      <c r="M330" s="5">
        <v>590.65</v>
      </c>
      <c r="N330" s="1" t="s">
        <v>21</v>
      </c>
      <c r="O330" s="1" t="s">
        <v>136</v>
      </c>
      <c r="P330" s="1" t="str">
        <f t="shared" si="5"/>
        <v>Low Value</v>
      </c>
    </row>
    <row r="331" spans="1:16" x14ac:dyDescent="0.35">
      <c r="A331" s="3" t="s">
        <v>699</v>
      </c>
      <c r="B331" s="4">
        <v>45870</v>
      </c>
      <c r="C331" s="1" t="s">
        <v>268</v>
      </c>
      <c r="D331" s="1" t="s">
        <v>269</v>
      </c>
      <c r="E331" s="1" t="s">
        <v>85</v>
      </c>
      <c r="F331" s="1" t="s">
        <v>86</v>
      </c>
      <c r="G331" s="1" t="s">
        <v>28</v>
      </c>
      <c r="H331" s="1" t="s">
        <v>29</v>
      </c>
      <c r="I331" s="1" t="s">
        <v>30</v>
      </c>
      <c r="J331" s="1">
        <v>2</v>
      </c>
      <c r="K331" s="2">
        <v>1439</v>
      </c>
      <c r="L331" s="5">
        <v>2446.3000000000002</v>
      </c>
      <c r="M331" s="5">
        <v>713.1</v>
      </c>
      <c r="N331" s="1" t="s">
        <v>59</v>
      </c>
      <c r="O331" s="1" t="s">
        <v>90</v>
      </c>
      <c r="P331" s="1" t="str">
        <f t="shared" si="5"/>
        <v>Low Value</v>
      </c>
    </row>
    <row r="332" spans="1:16" x14ac:dyDescent="0.35">
      <c r="A332" s="3" t="s">
        <v>700</v>
      </c>
      <c r="B332" s="4">
        <v>45868</v>
      </c>
      <c r="C332" s="1" t="s">
        <v>324</v>
      </c>
      <c r="D332" s="1" t="s">
        <v>325</v>
      </c>
      <c r="E332" s="1" t="s">
        <v>145</v>
      </c>
      <c r="F332" s="1" t="s">
        <v>0</v>
      </c>
      <c r="G332" s="1" t="s">
        <v>105</v>
      </c>
      <c r="H332" s="1" t="s">
        <v>106</v>
      </c>
      <c r="I332" s="1" t="s">
        <v>107</v>
      </c>
      <c r="J332" s="1">
        <v>8</v>
      </c>
      <c r="K332" s="2">
        <v>899</v>
      </c>
      <c r="L332" s="5">
        <v>7192</v>
      </c>
      <c r="M332" s="5">
        <v>1298.81</v>
      </c>
      <c r="N332" s="1" t="s">
        <v>45</v>
      </c>
      <c r="O332" s="1" t="s">
        <v>22</v>
      </c>
      <c r="P332" s="1" t="str">
        <f t="shared" si="5"/>
        <v>Medium Value</v>
      </c>
    </row>
    <row r="333" spans="1:16" x14ac:dyDescent="0.35">
      <c r="A333" s="3" t="s">
        <v>701</v>
      </c>
      <c r="B333" s="4">
        <v>46013</v>
      </c>
      <c r="C333" s="1" t="s">
        <v>109</v>
      </c>
      <c r="D333" s="1" t="s">
        <v>110</v>
      </c>
      <c r="E333" s="1" t="s">
        <v>26</v>
      </c>
      <c r="F333" s="1" t="s">
        <v>27</v>
      </c>
      <c r="G333" s="1" t="s">
        <v>262</v>
      </c>
      <c r="H333" s="1" t="s">
        <v>263</v>
      </c>
      <c r="I333" s="1" t="s">
        <v>97</v>
      </c>
      <c r="J333" s="1">
        <v>6</v>
      </c>
      <c r="K333" s="2">
        <v>164</v>
      </c>
      <c r="L333" s="5">
        <v>984</v>
      </c>
      <c r="M333" s="5">
        <v>128.75</v>
      </c>
      <c r="N333" s="1" t="s">
        <v>113</v>
      </c>
      <c r="O333" s="1" t="s">
        <v>90</v>
      </c>
      <c r="P333" s="1" t="str">
        <f t="shared" si="5"/>
        <v>Low Value</v>
      </c>
    </row>
    <row r="334" spans="1:16" x14ac:dyDescent="0.35">
      <c r="A334" s="3" t="s">
        <v>702</v>
      </c>
      <c r="B334" s="4">
        <v>45668</v>
      </c>
      <c r="C334" s="1" t="s">
        <v>204</v>
      </c>
      <c r="D334" s="1" t="s">
        <v>205</v>
      </c>
      <c r="E334" s="1" t="s">
        <v>49</v>
      </c>
      <c r="F334" s="1" t="s">
        <v>49</v>
      </c>
      <c r="G334" s="1" t="s">
        <v>70</v>
      </c>
      <c r="H334" s="1" t="s">
        <v>71</v>
      </c>
      <c r="I334" s="1" t="s">
        <v>44</v>
      </c>
      <c r="J334" s="1">
        <v>5</v>
      </c>
      <c r="K334" s="2">
        <v>3299</v>
      </c>
      <c r="L334" s="5">
        <v>13196</v>
      </c>
      <c r="M334" s="5">
        <v>3571.73</v>
      </c>
      <c r="N334" s="1" t="s">
        <v>45</v>
      </c>
      <c r="O334" s="1" t="s">
        <v>22</v>
      </c>
      <c r="P334" s="1" t="str">
        <f t="shared" si="5"/>
        <v>High Value</v>
      </c>
    </row>
    <row r="335" spans="1:16" x14ac:dyDescent="0.35">
      <c r="A335" s="3" t="s">
        <v>703</v>
      </c>
      <c r="B335" s="4">
        <v>45884</v>
      </c>
      <c r="C335" s="1" t="s">
        <v>704</v>
      </c>
      <c r="D335" s="1" t="s">
        <v>705</v>
      </c>
      <c r="E335" s="1" t="s">
        <v>68</v>
      </c>
      <c r="F335" s="1" t="s">
        <v>69</v>
      </c>
      <c r="G335" s="1" t="s">
        <v>87</v>
      </c>
      <c r="H335" s="1" t="s">
        <v>88</v>
      </c>
      <c r="I335" s="1" t="s">
        <v>52</v>
      </c>
      <c r="J335" s="1">
        <v>2</v>
      </c>
      <c r="K335" s="2">
        <v>6499</v>
      </c>
      <c r="L335" s="5">
        <v>11698.2</v>
      </c>
      <c r="M335" s="5">
        <v>1947.82</v>
      </c>
      <c r="N335" s="1" t="s">
        <v>113</v>
      </c>
      <c r="O335" s="1" t="s">
        <v>22</v>
      </c>
      <c r="P335" s="1" t="str">
        <f t="shared" si="5"/>
        <v>High Value</v>
      </c>
    </row>
    <row r="336" spans="1:16" x14ac:dyDescent="0.35">
      <c r="A336" s="3" t="s">
        <v>706</v>
      </c>
      <c r="B336" s="4">
        <v>45849</v>
      </c>
      <c r="C336" s="1" t="s">
        <v>24</v>
      </c>
      <c r="D336" s="1" t="s">
        <v>25</v>
      </c>
      <c r="E336" s="1" t="s">
        <v>41</v>
      </c>
      <c r="F336" s="1" t="s">
        <v>17</v>
      </c>
      <c r="G336" s="1" t="s">
        <v>198</v>
      </c>
      <c r="H336" s="1" t="s">
        <v>199</v>
      </c>
      <c r="I336" s="1" t="s">
        <v>37</v>
      </c>
      <c r="J336" s="1">
        <v>2</v>
      </c>
      <c r="K336" s="2">
        <v>699</v>
      </c>
      <c r="L336" s="5">
        <v>1118.4000000000001</v>
      </c>
      <c r="M336" s="5">
        <v>258.89999999999998</v>
      </c>
      <c r="N336" s="1" t="s">
        <v>45</v>
      </c>
      <c r="O336" s="1" t="s">
        <v>136</v>
      </c>
      <c r="P336" s="1" t="str">
        <f t="shared" si="5"/>
        <v>Low Value</v>
      </c>
    </row>
    <row r="337" spans="1:16" x14ac:dyDescent="0.35">
      <c r="A337" s="3" t="s">
        <v>707</v>
      </c>
      <c r="B337" s="4">
        <v>45949</v>
      </c>
      <c r="C337" s="1" t="s">
        <v>115</v>
      </c>
      <c r="D337" s="1" t="s">
        <v>116</v>
      </c>
      <c r="E337" s="1" t="s">
        <v>101</v>
      </c>
      <c r="F337" s="1" t="s">
        <v>86</v>
      </c>
      <c r="G337" s="1" t="s">
        <v>161</v>
      </c>
      <c r="H337" s="1" t="s">
        <v>162</v>
      </c>
      <c r="I337" s="1" t="s">
        <v>37</v>
      </c>
      <c r="J337" s="1">
        <v>4</v>
      </c>
      <c r="K337" s="2">
        <v>2069</v>
      </c>
      <c r="L337" s="5">
        <v>8276</v>
      </c>
      <c r="M337" s="5">
        <v>1053.33</v>
      </c>
      <c r="N337" s="1" t="s">
        <v>89</v>
      </c>
      <c r="O337" s="1" t="s">
        <v>90</v>
      </c>
      <c r="P337" s="1" t="str">
        <f t="shared" si="5"/>
        <v>Medium Value</v>
      </c>
    </row>
    <row r="338" spans="1:16" x14ac:dyDescent="0.35">
      <c r="A338" s="3" t="s">
        <v>708</v>
      </c>
      <c r="B338" s="4">
        <v>45759</v>
      </c>
      <c r="C338" s="1" t="s">
        <v>207</v>
      </c>
      <c r="D338" s="1" t="s">
        <v>208</v>
      </c>
      <c r="E338" s="1" t="s">
        <v>312</v>
      </c>
      <c r="F338" s="1" t="s">
        <v>112</v>
      </c>
      <c r="G338" s="1" t="s">
        <v>50</v>
      </c>
      <c r="H338" s="1" t="s">
        <v>51</v>
      </c>
      <c r="I338" s="1" t="s">
        <v>52</v>
      </c>
      <c r="J338" s="1">
        <v>7</v>
      </c>
      <c r="K338" s="2">
        <v>8799</v>
      </c>
      <c r="L338" s="5">
        <v>61593</v>
      </c>
      <c r="M338" s="5">
        <v>16621.39</v>
      </c>
      <c r="N338" s="1" t="s">
        <v>45</v>
      </c>
      <c r="O338" s="1" t="s">
        <v>22</v>
      </c>
      <c r="P338" s="1" t="str">
        <f t="shared" si="5"/>
        <v>High Value</v>
      </c>
    </row>
    <row r="339" spans="1:16" x14ac:dyDescent="0.35">
      <c r="A339" s="3" t="s">
        <v>709</v>
      </c>
      <c r="B339" s="4">
        <v>45886</v>
      </c>
      <c r="C339" s="1" t="s">
        <v>368</v>
      </c>
      <c r="D339" s="1" t="s">
        <v>217</v>
      </c>
      <c r="E339" s="1" t="s">
        <v>16</v>
      </c>
      <c r="F339" s="1" t="s">
        <v>17</v>
      </c>
      <c r="G339" s="1" t="s">
        <v>28</v>
      </c>
      <c r="H339" s="1" t="s">
        <v>29</v>
      </c>
      <c r="I339" s="1" t="s">
        <v>30</v>
      </c>
      <c r="J339" s="1">
        <v>6</v>
      </c>
      <c r="K339" s="2">
        <v>1599</v>
      </c>
      <c r="L339" s="5">
        <v>9594</v>
      </c>
      <c r="M339" s="5">
        <v>2919.3</v>
      </c>
      <c r="N339" s="1" t="s">
        <v>59</v>
      </c>
      <c r="O339" s="1" t="s">
        <v>22</v>
      </c>
      <c r="P339" s="1" t="str">
        <f t="shared" si="5"/>
        <v>Medium Value</v>
      </c>
    </row>
    <row r="340" spans="1:16" x14ac:dyDescent="0.35">
      <c r="A340" s="3" t="s">
        <v>710</v>
      </c>
      <c r="B340" s="4">
        <v>45704</v>
      </c>
      <c r="C340" s="1" t="s">
        <v>640</v>
      </c>
      <c r="D340" s="1" t="s">
        <v>641</v>
      </c>
      <c r="E340" s="1" t="s">
        <v>166</v>
      </c>
      <c r="F340" s="1" t="s">
        <v>27</v>
      </c>
      <c r="G340" s="1" t="s">
        <v>262</v>
      </c>
      <c r="H340" s="1" t="s">
        <v>263</v>
      </c>
      <c r="I340" s="1" t="s">
        <v>97</v>
      </c>
      <c r="J340" s="1">
        <v>1</v>
      </c>
      <c r="K340" s="2">
        <v>149</v>
      </c>
      <c r="L340" s="5">
        <v>126.65</v>
      </c>
      <c r="M340" s="5">
        <v>36.93</v>
      </c>
      <c r="N340" s="1" t="s">
        <v>45</v>
      </c>
      <c r="O340" s="1" t="s">
        <v>136</v>
      </c>
      <c r="P340" s="1" t="str">
        <f t="shared" si="5"/>
        <v>Low Value</v>
      </c>
    </row>
    <row r="341" spans="1:16" x14ac:dyDescent="0.35">
      <c r="A341" s="3" t="s">
        <v>711</v>
      </c>
      <c r="B341" s="4">
        <v>45773</v>
      </c>
      <c r="C341" s="1" t="s">
        <v>129</v>
      </c>
      <c r="D341" s="1" t="s">
        <v>130</v>
      </c>
      <c r="E341" s="1" t="s">
        <v>236</v>
      </c>
      <c r="F341" s="1" t="s">
        <v>86</v>
      </c>
      <c r="G341" s="1" t="s">
        <v>57</v>
      </c>
      <c r="H341" s="1" t="s">
        <v>58</v>
      </c>
      <c r="I341" s="1" t="s">
        <v>44</v>
      </c>
      <c r="J341" s="1">
        <v>7</v>
      </c>
      <c r="K341" s="2">
        <v>419</v>
      </c>
      <c r="L341" s="5">
        <v>2933</v>
      </c>
      <c r="M341" s="5">
        <v>909.87</v>
      </c>
      <c r="N341" s="1" t="s">
        <v>89</v>
      </c>
      <c r="O341" s="1" t="s">
        <v>22</v>
      </c>
      <c r="P341" s="1" t="str">
        <f t="shared" si="5"/>
        <v>Low Value</v>
      </c>
    </row>
    <row r="342" spans="1:16" x14ac:dyDescent="0.35">
      <c r="A342" s="3" t="s">
        <v>712</v>
      </c>
      <c r="B342" s="4">
        <v>45989</v>
      </c>
      <c r="C342" s="1" t="s">
        <v>321</v>
      </c>
      <c r="D342" s="1" t="s">
        <v>322</v>
      </c>
      <c r="E342" s="1" t="s">
        <v>166</v>
      </c>
      <c r="F342" s="1" t="s">
        <v>27</v>
      </c>
      <c r="G342" s="1" t="s">
        <v>35</v>
      </c>
      <c r="H342" s="1" t="s">
        <v>36</v>
      </c>
      <c r="I342" s="1" t="s">
        <v>37</v>
      </c>
      <c r="J342" s="1">
        <v>5</v>
      </c>
      <c r="K342" s="2">
        <v>1364</v>
      </c>
      <c r="L342" s="5">
        <v>6479</v>
      </c>
      <c r="M342" s="5">
        <v>1793.41</v>
      </c>
      <c r="N342" s="1" t="s">
        <v>59</v>
      </c>
      <c r="O342" s="1" t="s">
        <v>22</v>
      </c>
      <c r="P342" s="1" t="str">
        <f t="shared" si="5"/>
        <v>Medium Value</v>
      </c>
    </row>
    <row r="343" spans="1:16" x14ac:dyDescent="0.35">
      <c r="A343" s="3" t="s">
        <v>713</v>
      </c>
      <c r="B343" s="4">
        <v>45836</v>
      </c>
      <c r="C343" s="1" t="s">
        <v>473</v>
      </c>
      <c r="D343" s="1" t="s">
        <v>474</v>
      </c>
      <c r="E343" s="1" t="s">
        <v>68</v>
      </c>
      <c r="F343" s="1" t="s">
        <v>69</v>
      </c>
      <c r="G343" s="1" t="s">
        <v>161</v>
      </c>
      <c r="H343" s="1" t="s">
        <v>162</v>
      </c>
      <c r="I343" s="1" t="s">
        <v>37</v>
      </c>
      <c r="J343" s="1">
        <v>8</v>
      </c>
      <c r="K343" s="2">
        <v>2299</v>
      </c>
      <c r="L343" s="5">
        <v>14713.6</v>
      </c>
      <c r="M343" s="5">
        <v>3450.93</v>
      </c>
      <c r="N343" s="1" t="s">
        <v>21</v>
      </c>
      <c r="O343" s="1" t="s">
        <v>22</v>
      </c>
      <c r="P343" s="1" t="str">
        <f t="shared" si="5"/>
        <v>High Value</v>
      </c>
    </row>
    <row r="344" spans="1:16" x14ac:dyDescent="0.35">
      <c r="A344" s="3" t="s">
        <v>714</v>
      </c>
      <c r="B344" s="4">
        <v>45661</v>
      </c>
      <c r="C344" s="1" t="s">
        <v>386</v>
      </c>
      <c r="D344" s="1" t="s">
        <v>277</v>
      </c>
      <c r="E344" s="1" t="s">
        <v>312</v>
      </c>
      <c r="F344" s="1" t="s">
        <v>112</v>
      </c>
      <c r="G344" s="1" t="s">
        <v>254</v>
      </c>
      <c r="H344" s="1" t="s">
        <v>255</v>
      </c>
      <c r="I344" s="1" t="s">
        <v>30</v>
      </c>
      <c r="J344" s="1">
        <v>5</v>
      </c>
      <c r="K344" s="2">
        <v>799</v>
      </c>
      <c r="L344" s="5">
        <v>3196</v>
      </c>
      <c r="M344" s="5">
        <v>459.53</v>
      </c>
      <c r="N344" s="1" t="s">
        <v>89</v>
      </c>
      <c r="O344" s="1" t="s">
        <v>22</v>
      </c>
      <c r="P344" s="1" t="str">
        <f t="shared" si="5"/>
        <v>Low Value</v>
      </c>
    </row>
    <row r="345" spans="1:16" x14ac:dyDescent="0.35">
      <c r="A345" s="3" t="s">
        <v>715</v>
      </c>
      <c r="B345" s="4">
        <v>45985</v>
      </c>
      <c r="C345" s="1" t="s">
        <v>299</v>
      </c>
      <c r="D345" s="1" t="s">
        <v>300</v>
      </c>
      <c r="E345" s="1" t="s">
        <v>68</v>
      </c>
      <c r="F345" s="1" t="s">
        <v>69</v>
      </c>
      <c r="G345" s="1" t="s">
        <v>57</v>
      </c>
      <c r="H345" s="1" t="s">
        <v>58</v>
      </c>
      <c r="I345" s="1" t="s">
        <v>44</v>
      </c>
      <c r="J345" s="1">
        <v>5</v>
      </c>
      <c r="K345" s="2">
        <v>399</v>
      </c>
      <c r="L345" s="5">
        <v>1995</v>
      </c>
      <c r="M345" s="5">
        <v>466.44</v>
      </c>
      <c r="N345" s="1" t="s">
        <v>45</v>
      </c>
      <c r="O345" s="1" t="s">
        <v>90</v>
      </c>
      <c r="P345" s="1" t="str">
        <f t="shared" si="5"/>
        <v>Low Value</v>
      </c>
    </row>
    <row r="346" spans="1:16" x14ac:dyDescent="0.35">
      <c r="A346" s="3" t="s">
        <v>716</v>
      </c>
      <c r="B346" s="4">
        <v>45864</v>
      </c>
      <c r="C346" s="1" t="s">
        <v>14</v>
      </c>
      <c r="D346" s="1" t="s">
        <v>15</v>
      </c>
      <c r="E346" s="1" t="s">
        <v>111</v>
      </c>
      <c r="F346" s="1" t="s">
        <v>112</v>
      </c>
      <c r="G346" s="1" t="s">
        <v>18</v>
      </c>
      <c r="H346" s="1" t="s">
        <v>19</v>
      </c>
      <c r="I346" s="1" t="s">
        <v>20</v>
      </c>
      <c r="J346" s="1">
        <v>1</v>
      </c>
      <c r="K346" s="2">
        <v>4399</v>
      </c>
      <c r="L346" s="5">
        <v>3959.1</v>
      </c>
      <c r="M346" s="5">
        <v>1343.89</v>
      </c>
      <c r="N346" s="1" t="s">
        <v>59</v>
      </c>
      <c r="O346" s="1" t="s">
        <v>90</v>
      </c>
      <c r="P346" s="1" t="str">
        <f t="shared" si="5"/>
        <v>Low Value</v>
      </c>
    </row>
    <row r="347" spans="1:16" x14ac:dyDescent="0.35">
      <c r="A347" s="3" t="s">
        <v>717</v>
      </c>
      <c r="B347" s="4">
        <v>45856</v>
      </c>
      <c r="C347" s="1" t="s">
        <v>279</v>
      </c>
      <c r="D347" s="1" t="s">
        <v>280</v>
      </c>
      <c r="E347" s="1" t="s">
        <v>236</v>
      </c>
      <c r="F347" s="1" t="s">
        <v>86</v>
      </c>
      <c r="G347" s="1" t="s">
        <v>42</v>
      </c>
      <c r="H347" s="1" t="s">
        <v>43</v>
      </c>
      <c r="I347" s="1" t="s">
        <v>44</v>
      </c>
      <c r="J347" s="1">
        <v>4</v>
      </c>
      <c r="K347" s="2">
        <v>989</v>
      </c>
      <c r="L347" s="5">
        <v>3362.6</v>
      </c>
      <c r="M347" s="5">
        <v>875.72</v>
      </c>
      <c r="N347" s="1" t="s">
        <v>113</v>
      </c>
      <c r="O347" s="1" t="s">
        <v>90</v>
      </c>
      <c r="P347" s="1" t="str">
        <f t="shared" si="5"/>
        <v>Low Value</v>
      </c>
    </row>
    <row r="348" spans="1:16" x14ac:dyDescent="0.35">
      <c r="A348" s="3" t="s">
        <v>718</v>
      </c>
      <c r="B348" s="4">
        <v>45841</v>
      </c>
      <c r="C348" s="1" t="s">
        <v>126</v>
      </c>
      <c r="D348" s="1" t="s">
        <v>127</v>
      </c>
      <c r="E348" s="1" t="s">
        <v>49</v>
      </c>
      <c r="F348" s="1" t="s">
        <v>49</v>
      </c>
      <c r="G348" s="1" t="s">
        <v>198</v>
      </c>
      <c r="H348" s="1" t="s">
        <v>199</v>
      </c>
      <c r="I348" s="1" t="s">
        <v>37</v>
      </c>
      <c r="J348" s="1">
        <v>3</v>
      </c>
      <c r="K348" s="2">
        <v>699</v>
      </c>
      <c r="L348" s="5">
        <v>2097</v>
      </c>
      <c r="M348" s="5">
        <v>468.83</v>
      </c>
      <c r="N348" s="1" t="s">
        <v>59</v>
      </c>
      <c r="O348" s="1" t="s">
        <v>22</v>
      </c>
      <c r="P348" s="1" t="str">
        <f t="shared" si="5"/>
        <v>Low Value</v>
      </c>
    </row>
    <row r="349" spans="1:16" x14ac:dyDescent="0.35">
      <c r="A349" s="3" t="s">
        <v>719</v>
      </c>
      <c r="B349" s="4">
        <v>45751</v>
      </c>
      <c r="C349" s="1" t="s">
        <v>296</v>
      </c>
      <c r="D349" s="1" t="s">
        <v>297</v>
      </c>
      <c r="E349" s="1" t="s">
        <v>111</v>
      </c>
      <c r="F349" s="1" t="s">
        <v>112</v>
      </c>
      <c r="G349" s="1" t="s">
        <v>182</v>
      </c>
      <c r="H349" s="1" t="s">
        <v>183</v>
      </c>
      <c r="I349" s="1" t="s">
        <v>20</v>
      </c>
      <c r="J349" s="1">
        <v>4</v>
      </c>
      <c r="K349" s="2">
        <v>1799</v>
      </c>
      <c r="L349" s="5">
        <v>7196</v>
      </c>
      <c r="M349" s="5">
        <v>2041.69</v>
      </c>
      <c r="N349" s="1" t="s">
        <v>59</v>
      </c>
      <c r="O349" s="1" t="s">
        <v>22</v>
      </c>
      <c r="P349" s="1" t="str">
        <f t="shared" si="5"/>
        <v>Medium Value</v>
      </c>
    </row>
    <row r="350" spans="1:16" x14ac:dyDescent="0.35">
      <c r="A350" s="3" t="s">
        <v>720</v>
      </c>
      <c r="B350" s="4">
        <v>45848</v>
      </c>
      <c r="C350" s="1" t="s">
        <v>721</v>
      </c>
      <c r="D350" s="1" t="s">
        <v>722</v>
      </c>
      <c r="E350" s="1" t="s">
        <v>49</v>
      </c>
      <c r="F350" s="1" t="s">
        <v>49</v>
      </c>
      <c r="G350" s="1" t="s">
        <v>50</v>
      </c>
      <c r="H350" s="1" t="s">
        <v>51</v>
      </c>
      <c r="I350" s="1" t="s">
        <v>52</v>
      </c>
      <c r="J350" s="1">
        <v>2</v>
      </c>
      <c r="K350" s="2">
        <v>7999</v>
      </c>
      <c r="L350" s="5">
        <v>15998</v>
      </c>
      <c r="M350" s="5">
        <v>4969.08</v>
      </c>
      <c r="N350" s="1" t="s">
        <v>21</v>
      </c>
      <c r="O350" s="1" t="s">
        <v>22</v>
      </c>
      <c r="P350" s="1" t="str">
        <f t="shared" si="5"/>
        <v>High Value</v>
      </c>
    </row>
    <row r="351" spans="1:16" x14ac:dyDescent="0.35">
      <c r="A351" s="3" t="s">
        <v>723</v>
      </c>
      <c r="B351" s="4">
        <v>45694</v>
      </c>
      <c r="C351" s="1" t="s">
        <v>666</v>
      </c>
      <c r="D351" s="1" t="s">
        <v>667</v>
      </c>
      <c r="E351" s="1" t="s">
        <v>236</v>
      </c>
      <c r="F351" s="1" t="s">
        <v>86</v>
      </c>
      <c r="G351" s="1" t="s">
        <v>213</v>
      </c>
      <c r="H351" s="1" t="s">
        <v>214</v>
      </c>
      <c r="I351" s="1" t="s">
        <v>107</v>
      </c>
      <c r="J351" s="1">
        <v>2</v>
      </c>
      <c r="K351" s="2">
        <v>2089</v>
      </c>
      <c r="L351" s="5">
        <v>3760.2</v>
      </c>
      <c r="M351" s="5">
        <v>889.53</v>
      </c>
      <c r="N351" s="1" t="s">
        <v>113</v>
      </c>
      <c r="O351" s="1" t="s">
        <v>22</v>
      </c>
      <c r="P351" s="1" t="str">
        <f t="shared" si="5"/>
        <v>Low Value</v>
      </c>
    </row>
    <row r="352" spans="1:16" x14ac:dyDescent="0.35">
      <c r="A352" s="3" t="s">
        <v>724</v>
      </c>
      <c r="B352" s="4">
        <v>45728</v>
      </c>
      <c r="C352" s="1" t="s">
        <v>725</v>
      </c>
      <c r="D352" s="1" t="s">
        <v>224</v>
      </c>
      <c r="E352" s="1" t="s">
        <v>111</v>
      </c>
      <c r="F352" s="1" t="s">
        <v>112</v>
      </c>
      <c r="G352" s="1" t="s">
        <v>87</v>
      </c>
      <c r="H352" s="1" t="s">
        <v>88</v>
      </c>
      <c r="I352" s="1" t="s">
        <v>52</v>
      </c>
      <c r="J352" s="1">
        <v>8</v>
      </c>
      <c r="K352" s="2">
        <v>6499</v>
      </c>
      <c r="L352" s="5">
        <v>49392.4</v>
      </c>
      <c r="M352" s="5">
        <v>15298.14</v>
      </c>
      <c r="N352" s="1" t="s">
        <v>45</v>
      </c>
      <c r="O352" s="1" t="s">
        <v>136</v>
      </c>
      <c r="P352" s="1" t="str">
        <f t="shared" si="5"/>
        <v>High Value</v>
      </c>
    </row>
    <row r="353" spans="1:16" x14ac:dyDescent="0.35">
      <c r="A353" s="3" t="s">
        <v>726</v>
      </c>
      <c r="B353" s="4">
        <v>45828</v>
      </c>
      <c r="C353" s="1" t="s">
        <v>727</v>
      </c>
      <c r="D353" s="1" t="s">
        <v>728</v>
      </c>
      <c r="E353" s="1" t="s">
        <v>101</v>
      </c>
      <c r="F353" s="1" t="s">
        <v>86</v>
      </c>
      <c r="G353" s="1" t="s">
        <v>42</v>
      </c>
      <c r="H353" s="1" t="s">
        <v>43</v>
      </c>
      <c r="I353" s="1" t="s">
        <v>44</v>
      </c>
      <c r="J353" s="1">
        <v>1</v>
      </c>
      <c r="K353" s="2">
        <v>809</v>
      </c>
      <c r="L353" s="5">
        <v>728.1</v>
      </c>
      <c r="M353" s="5">
        <v>131.19</v>
      </c>
      <c r="N353" s="1" t="s">
        <v>45</v>
      </c>
      <c r="O353" s="1" t="s">
        <v>22</v>
      </c>
      <c r="P353" s="1" t="str">
        <f t="shared" si="5"/>
        <v>Low Value</v>
      </c>
    </row>
    <row r="354" spans="1:16" x14ac:dyDescent="0.35">
      <c r="A354" s="3" t="s">
        <v>729</v>
      </c>
      <c r="B354" s="4">
        <v>45908</v>
      </c>
      <c r="C354" s="1" t="s">
        <v>730</v>
      </c>
      <c r="D354" s="1" t="s">
        <v>731</v>
      </c>
      <c r="E354" s="1" t="s">
        <v>85</v>
      </c>
      <c r="F354" s="1" t="s">
        <v>86</v>
      </c>
      <c r="G354" s="1" t="s">
        <v>131</v>
      </c>
      <c r="H354" s="1" t="s">
        <v>132</v>
      </c>
      <c r="I354" s="1" t="s">
        <v>44</v>
      </c>
      <c r="J354" s="1">
        <v>7</v>
      </c>
      <c r="K354" s="2">
        <v>604</v>
      </c>
      <c r="L354" s="5">
        <v>3805.2</v>
      </c>
      <c r="M354" s="5">
        <v>794.32</v>
      </c>
      <c r="N354" s="1" t="s">
        <v>113</v>
      </c>
      <c r="O354" s="1" t="s">
        <v>22</v>
      </c>
      <c r="P354" s="1" t="str">
        <f t="shared" si="5"/>
        <v>Low Value</v>
      </c>
    </row>
    <row r="355" spans="1:16" x14ac:dyDescent="0.35">
      <c r="A355" s="3" t="s">
        <v>732</v>
      </c>
      <c r="B355" s="4">
        <v>45931</v>
      </c>
      <c r="C355" s="1" t="s">
        <v>725</v>
      </c>
      <c r="D355" s="1" t="s">
        <v>224</v>
      </c>
      <c r="E355" s="1" t="s">
        <v>312</v>
      </c>
      <c r="F355" s="1" t="s">
        <v>112</v>
      </c>
      <c r="G355" s="1" t="s">
        <v>63</v>
      </c>
      <c r="H355" s="1" t="s">
        <v>64</v>
      </c>
      <c r="I355" s="1" t="s">
        <v>20</v>
      </c>
      <c r="J355" s="1">
        <v>6</v>
      </c>
      <c r="K355" s="2">
        <v>629</v>
      </c>
      <c r="L355" s="5">
        <v>3774</v>
      </c>
      <c r="M355" s="5">
        <v>467.76</v>
      </c>
      <c r="N355" s="1" t="s">
        <v>89</v>
      </c>
      <c r="O355" s="1" t="s">
        <v>22</v>
      </c>
      <c r="P355" s="1" t="str">
        <f t="shared" si="5"/>
        <v>Low Value</v>
      </c>
    </row>
    <row r="356" spans="1:16" x14ac:dyDescent="0.35">
      <c r="A356" s="3" t="s">
        <v>733</v>
      </c>
      <c r="B356" s="4">
        <v>45773</v>
      </c>
      <c r="C356" s="1" t="s">
        <v>250</v>
      </c>
      <c r="D356" s="1" t="s">
        <v>251</v>
      </c>
      <c r="E356" s="1" t="s">
        <v>312</v>
      </c>
      <c r="F356" s="1" t="s">
        <v>112</v>
      </c>
      <c r="G356" s="1" t="s">
        <v>70</v>
      </c>
      <c r="H356" s="1" t="s">
        <v>71</v>
      </c>
      <c r="I356" s="1" t="s">
        <v>44</v>
      </c>
      <c r="J356" s="1">
        <v>3</v>
      </c>
      <c r="K356" s="2">
        <v>2969</v>
      </c>
      <c r="L356" s="5">
        <v>8016.3</v>
      </c>
      <c r="M356" s="5">
        <v>1849.63</v>
      </c>
      <c r="N356" s="1" t="s">
        <v>59</v>
      </c>
      <c r="O356" s="1" t="s">
        <v>22</v>
      </c>
      <c r="P356" s="1" t="str">
        <f t="shared" si="5"/>
        <v>Medium Value</v>
      </c>
    </row>
    <row r="357" spans="1:16" x14ac:dyDescent="0.35">
      <c r="A357" s="3" t="s">
        <v>734</v>
      </c>
      <c r="B357" s="4">
        <v>45810</v>
      </c>
      <c r="C357" s="1" t="s">
        <v>735</v>
      </c>
      <c r="D357" s="1" t="s">
        <v>736</v>
      </c>
      <c r="E357" s="1" t="s">
        <v>172</v>
      </c>
      <c r="F357" s="1" t="s">
        <v>173</v>
      </c>
      <c r="G357" s="1" t="s">
        <v>213</v>
      </c>
      <c r="H357" s="1" t="s">
        <v>214</v>
      </c>
      <c r="I357" s="1" t="s">
        <v>107</v>
      </c>
      <c r="J357" s="1">
        <v>6</v>
      </c>
      <c r="K357" s="2">
        <v>1899</v>
      </c>
      <c r="L357" s="5">
        <v>9115.2000000000007</v>
      </c>
      <c r="M357" s="5">
        <v>3090.09</v>
      </c>
      <c r="N357" s="1" t="s">
        <v>59</v>
      </c>
      <c r="O357" s="1" t="s">
        <v>53</v>
      </c>
      <c r="P357" s="1" t="str">
        <f t="shared" si="5"/>
        <v>Medium Value</v>
      </c>
    </row>
    <row r="358" spans="1:16" x14ac:dyDescent="0.35">
      <c r="A358" s="3" t="s">
        <v>737</v>
      </c>
      <c r="B358" s="4">
        <v>45841</v>
      </c>
      <c r="C358" s="1" t="s">
        <v>375</v>
      </c>
      <c r="D358" s="1" t="s">
        <v>376</v>
      </c>
      <c r="E358" s="1" t="s">
        <v>101</v>
      </c>
      <c r="F358" s="1" t="s">
        <v>86</v>
      </c>
      <c r="G358" s="1" t="s">
        <v>262</v>
      </c>
      <c r="H358" s="1" t="s">
        <v>263</v>
      </c>
      <c r="I358" s="1" t="s">
        <v>97</v>
      </c>
      <c r="J358" s="1">
        <v>1</v>
      </c>
      <c r="K358" s="2">
        <v>149</v>
      </c>
      <c r="L358" s="5">
        <v>149</v>
      </c>
      <c r="M358" s="5">
        <v>41.72</v>
      </c>
      <c r="N358" s="1" t="s">
        <v>45</v>
      </c>
      <c r="O358" s="1" t="s">
        <v>22</v>
      </c>
      <c r="P358" s="1" t="str">
        <f t="shared" si="5"/>
        <v>Low Value</v>
      </c>
    </row>
    <row r="359" spans="1:16" x14ac:dyDescent="0.35">
      <c r="A359" s="3" t="s">
        <v>738</v>
      </c>
      <c r="B359" s="4">
        <v>45959</v>
      </c>
      <c r="C359" s="1" t="s">
        <v>126</v>
      </c>
      <c r="D359" s="1" t="s">
        <v>127</v>
      </c>
      <c r="E359" s="1" t="s">
        <v>101</v>
      </c>
      <c r="F359" s="1" t="s">
        <v>86</v>
      </c>
      <c r="G359" s="1" t="s">
        <v>120</v>
      </c>
      <c r="H359" s="1" t="s">
        <v>121</v>
      </c>
      <c r="I359" s="1" t="s">
        <v>20</v>
      </c>
      <c r="J359" s="1">
        <v>6</v>
      </c>
      <c r="K359" s="2">
        <v>1649</v>
      </c>
      <c r="L359" s="5">
        <v>7915.2</v>
      </c>
      <c r="M359" s="5">
        <v>2329.19</v>
      </c>
      <c r="N359" s="1" t="s">
        <v>113</v>
      </c>
      <c r="O359" s="1" t="s">
        <v>90</v>
      </c>
      <c r="P359" s="1" t="str">
        <f t="shared" si="5"/>
        <v>Medium Value</v>
      </c>
    </row>
    <row r="360" spans="1:16" x14ac:dyDescent="0.35">
      <c r="A360" s="3" t="s">
        <v>739</v>
      </c>
      <c r="B360" s="4">
        <v>45931</v>
      </c>
      <c r="C360" s="1" t="s">
        <v>276</v>
      </c>
      <c r="D360" s="1" t="s">
        <v>277</v>
      </c>
      <c r="E360" s="1" t="s">
        <v>26</v>
      </c>
      <c r="F360" s="1" t="s">
        <v>27</v>
      </c>
      <c r="G360" s="1" t="s">
        <v>131</v>
      </c>
      <c r="H360" s="1" t="s">
        <v>132</v>
      </c>
      <c r="I360" s="1" t="s">
        <v>44</v>
      </c>
      <c r="J360" s="1">
        <v>1</v>
      </c>
      <c r="K360" s="2">
        <v>604</v>
      </c>
      <c r="L360" s="5">
        <v>604</v>
      </c>
      <c r="M360" s="5">
        <v>159.33000000000001</v>
      </c>
      <c r="N360" s="1" t="s">
        <v>89</v>
      </c>
      <c r="O360" s="1" t="s">
        <v>22</v>
      </c>
      <c r="P360" s="1" t="str">
        <f t="shared" si="5"/>
        <v>Low Value</v>
      </c>
    </row>
    <row r="361" spans="1:16" x14ac:dyDescent="0.35">
      <c r="A361" s="3" t="s">
        <v>740</v>
      </c>
      <c r="B361" s="4">
        <v>45871</v>
      </c>
      <c r="C361" s="1" t="s">
        <v>232</v>
      </c>
      <c r="D361" s="1" t="s">
        <v>221</v>
      </c>
      <c r="E361" s="1" t="s">
        <v>145</v>
      </c>
      <c r="F361" s="1" t="s">
        <v>0</v>
      </c>
      <c r="G361" s="1" t="s">
        <v>120</v>
      </c>
      <c r="H361" s="1" t="s">
        <v>121</v>
      </c>
      <c r="I361" s="1" t="s">
        <v>20</v>
      </c>
      <c r="J361" s="1">
        <v>5</v>
      </c>
      <c r="K361" s="2">
        <v>1499</v>
      </c>
      <c r="L361" s="5">
        <v>5996</v>
      </c>
      <c r="M361" s="5">
        <v>921.51</v>
      </c>
      <c r="N361" s="1" t="s">
        <v>89</v>
      </c>
      <c r="O361" s="1" t="s">
        <v>22</v>
      </c>
      <c r="P361" s="1" t="str">
        <f t="shared" si="5"/>
        <v>Medium Value</v>
      </c>
    </row>
    <row r="362" spans="1:16" x14ac:dyDescent="0.35">
      <c r="A362" s="3" t="s">
        <v>741</v>
      </c>
      <c r="B362" s="4">
        <v>45709</v>
      </c>
      <c r="C362" s="1" t="s">
        <v>14</v>
      </c>
      <c r="D362" s="1" t="s">
        <v>15</v>
      </c>
      <c r="E362" s="1" t="s">
        <v>41</v>
      </c>
      <c r="F362" s="1" t="s">
        <v>17</v>
      </c>
      <c r="G362" s="1" t="s">
        <v>57</v>
      </c>
      <c r="H362" s="1" t="s">
        <v>58</v>
      </c>
      <c r="I362" s="1" t="s">
        <v>44</v>
      </c>
      <c r="J362" s="1">
        <v>3</v>
      </c>
      <c r="K362" s="2">
        <v>399</v>
      </c>
      <c r="L362" s="5">
        <v>1197</v>
      </c>
      <c r="M362" s="5">
        <v>278.36</v>
      </c>
      <c r="N362" s="1" t="s">
        <v>21</v>
      </c>
      <c r="O362" s="1" t="s">
        <v>22</v>
      </c>
      <c r="P362" s="1" t="str">
        <f t="shared" si="5"/>
        <v>Low Value</v>
      </c>
    </row>
    <row r="363" spans="1:16" x14ac:dyDescent="0.35">
      <c r="A363" s="3" t="s">
        <v>742</v>
      </c>
      <c r="B363" s="4">
        <v>45712</v>
      </c>
      <c r="C363" s="1" t="s">
        <v>743</v>
      </c>
      <c r="D363" s="1" t="s">
        <v>135</v>
      </c>
      <c r="E363" s="1" t="s">
        <v>236</v>
      </c>
      <c r="F363" s="1" t="s">
        <v>86</v>
      </c>
      <c r="G363" s="1" t="s">
        <v>131</v>
      </c>
      <c r="H363" s="1" t="s">
        <v>132</v>
      </c>
      <c r="I363" s="1" t="s">
        <v>44</v>
      </c>
      <c r="J363" s="1">
        <v>4</v>
      </c>
      <c r="K363" s="2">
        <v>549</v>
      </c>
      <c r="L363" s="5">
        <v>1866.6</v>
      </c>
      <c r="M363" s="5">
        <v>623.61</v>
      </c>
      <c r="N363" s="1" t="s">
        <v>59</v>
      </c>
      <c r="O363" s="1" t="s">
        <v>22</v>
      </c>
      <c r="P363" s="1" t="str">
        <f t="shared" si="5"/>
        <v>Low Value</v>
      </c>
    </row>
    <row r="364" spans="1:16" x14ac:dyDescent="0.35">
      <c r="A364" s="3" t="s">
        <v>744</v>
      </c>
      <c r="B364" s="4">
        <v>45740</v>
      </c>
      <c r="C364" s="1" t="s">
        <v>185</v>
      </c>
      <c r="D364" s="1" t="s">
        <v>186</v>
      </c>
      <c r="E364" s="1" t="s">
        <v>80</v>
      </c>
      <c r="F364" s="1" t="s">
        <v>81</v>
      </c>
      <c r="G364" s="1" t="s">
        <v>105</v>
      </c>
      <c r="H364" s="1" t="s">
        <v>106</v>
      </c>
      <c r="I364" s="1" t="s">
        <v>107</v>
      </c>
      <c r="J364" s="1">
        <v>4</v>
      </c>
      <c r="K364" s="2">
        <v>1099</v>
      </c>
      <c r="L364" s="5">
        <v>3956.4</v>
      </c>
      <c r="M364" s="5">
        <v>762.53</v>
      </c>
      <c r="N364" s="1" t="s">
        <v>89</v>
      </c>
      <c r="O364" s="1" t="s">
        <v>22</v>
      </c>
      <c r="P364" s="1" t="str">
        <f t="shared" si="5"/>
        <v>Low Value</v>
      </c>
    </row>
    <row r="365" spans="1:16" x14ac:dyDescent="0.35">
      <c r="A365" s="3" t="s">
        <v>745</v>
      </c>
      <c r="B365" s="4">
        <v>45714</v>
      </c>
      <c r="C365" s="1" t="s">
        <v>492</v>
      </c>
      <c r="D365" s="1" t="s">
        <v>493</v>
      </c>
      <c r="E365" s="1" t="s">
        <v>16</v>
      </c>
      <c r="F365" s="1" t="s">
        <v>17</v>
      </c>
      <c r="G365" s="1" t="s">
        <v>18</v>
      </c>
      <c r="H365" s="1" t="s">
        <v>19</v>
      </c>
      <c r="I365" s="1" t="s">
        <v>20</v>
      </c>
      <c r="J365" s="1">
        <v>2</v>
      </c>
      <c r="K365" s="2">
        <v>4199</v>
      </c>
      <c r="L365" s="5">
        <v>8398</v>
      </c>
      <c r="M365" s="5">
        <v>2344.59</v>
      </c>
      <c r="N365" s="1" t="s">
        <v>89</v>
      </c>
      <c r="O365" s="1" t="s">
        <v>90</v>
      </c>
      <c r="P365" s="1" t="str">
        <f t="shared" si="5"/>
        <v>Medium Value</v>
      </c>
    </row>
    <row r="366" spans="1:16" x14ac:dyDescent="0.35">
      <c r="A366" s="3" t="s">
        <v>746</v>
      </c>
      <c r="B366" s="4">
        <v>45776</v>
      </c>
      <c r="C366" s="1" t="s">
        <v>496</v>
      </c>
      <c r="D366" s="1" t="s">
        <v>366</v>
      </c>
      <c r="E366" s="1" t="s">
        <v>49</v>
      </c>
      <c r="F366" s="1" t="s">
        <v>49</v>
      </c>
      <c r="G366" s="1" t="s">
        <v>57</v>
      </c>
      <c r="H366" s="1" t="s">
        <v>58</v>
      </c>
      <c r="I366" s="1" t="s">
        <v>44</v>
      </c>
      <c r="J366" s="1">
        <v>8</v>
      </c>
      <c r="K366" s="2">
        <v>359</v>
      </c>
      <c r="L366" s="5">
        <v>2872</v>
      </c>
      <c r="M366" s="5">
        <v>858.44</v>
      </c>
      <c r="N366" s="1" t="s">
        <v>89</v>
      </c>
      <c r="O366" s="1" t="s">
        <v>136</v>
      </c>
      <c r="P366" s="1" t="str">
        <f t="shared" si="5"/>
        <v>Low Value</v>
      </c>
    </row>
    <row r="367" spans="1:16" x14ac:dyDescent="0.35">
      <c r="A367" s="3" t="s">
        <v>747</v>
      </c>
      <c r="B367" s="4">
        <v>46004</v>
      </c>
      <c r="C367" s="1" t="s">
        <v>357</v>
      </c>
      <c r="D367" s="1" t="s">
        <v>328</v>
      </c>
      <c r="E367" s="1" t="s">
        <v>75</v>
      </c>
      <c r="F367" s="1" t="s">
        <v>76</v>
      </c>
      <c r="G367" s="1" t="s">
        <v>120</v>
      </c>
      <c r="H367" s="1" t="s">
        <v>121</v>
      </c>
      <c r="I367" s="1" t="s">
        <v>20</v>
      </c>
      <c r="J367" s="1">
        <v>2</v>
      </c>
      <c r="K367" s="2">
        <v>1349</v>
      </c>
      <c r="L367" s="5">
        <v>2698</v>
      </c>
      <c r="M367" s="5">
        <v>829.47</v>
      </c>
      <c r="N367" s="1" t="s">
        <v>45</v>
      </c>
      <c r="O367" s="1" t="s">
        <v>22</v>
      </c>
      <c r="P367" s="1" t="str">
        <f t="shared" si="5"/>
        <v>Low Value</v>
      </c>
    </row>
    <row r="368" spans="1:16" x14ac:dyDescent="0.35">
      <c r="A368" s="3" t="s">
        <v>748</v>
      </c>
      <c r="B368" s="4">
        <v>45976</v>
      </c>
      <c r="C368" s="1" t="s">
        <v>201</v>
      </c>
      <c r="D368" s="1" t="s">
        <v>202</v>
      </c>
      <c r="E368" s="1" t="s">
        <v>34</v>
      </c>
      <c r="F368" s="1" t="s">
        <v>27</v>
      </c>
      <c r="G368" s="1" t="s">
        <v>95</v>
      </c>
      <c r="H368" s="1" t="s">
        <v>96</v>
      </c>
      <c r="I368" s="1" t="s">
        <v>97</v>
      </c>
      <c r="J368" s="1">
        <v>6</v>
      </c>
      <c r="K368" s="2">
        <v>249</v>
      </c>
      <c r="L368" s="5">
        <v>1494</v>
      </c>
      <c r="M368" s="5">
        <v>311.01</v>
      </c>
      <c r="N368" s="1" t="s">
        <v>113</v>
      </c>
      <c r="O368" s="1" t="s">
        <v>22</v>
      </c>
      <c r="P368" s="1" t="str">
        <f t="shared" si="5"/>
        <v>Low Value</v>
      </c>
    </row>
    <row r="369" spans="1:16" x14ac:dyDescent="0.35">
      <c r="A369" s="3" t="s">
        <v>749</v>
      </c>
      <c r="B369" s="4">
        <v>46011</v>
      </c>
      <c r="C369" s="1" t="s">
        <v>534</v>
      </c>
      <c r="D369" s="1" t="s">
        <v>528</v>
      </c>
      <c r="E369" s="1" t="s">
        <v>75</v>
      </c>
      <c r="F369" s="1" t="s">
        <v>76</v>
      </c>
      <c r="G369" s="1" t="s">
        <v>198</v>
      </c>
      <c r="H369" s="1" t="s">
        <v>199</v>
      </c>
      <c r="I369" s="1" t="s">
        <v>37</v>
      </c>
      <c r="J369" s="1">
        <v>2</v>
      </c>
      <c r="K369" s="2">
        <v>699</v>
      </c>
      <c r="L369" s="5">
        <v>1118.4000000000001</v>
      </c>
      <c r="M369" s="5">
        <v>312.94</v>
      </c>
      <c r="N369" s="1" t="s">
        <v>45</v>
      </c>
      <c r="O369" s="1" t="s">
        <v>22</v>
      </c>
      <c r="P369" s="1" t="str">
        <f t="shared" si="5"/>
        <v>Low Value</v>
      </c>
    </row>
    <row r="370" spans="1:16" x14ac:dyDescent="0.35">
      <c r="A370" s="3" t="s">
        <v>750</v>
      </c>
      <c r="B370" s="4">
        <v>45905</v>
      </c>
      <c r="C370" s="1" t="s">
        <v>751</v>
      </c>
      <c r="D370" s="1" t="s">
        <v>380</v>
      </c>
      <c r="E370" s="1" t="s">
        <v>172</v>
      </c>
      <c r="F370" s="1" t="s">
        <v>173</v>
      </c>
      <c r="G370" s="1" t="s">
        <v>198</v>
      </c>
      <c r="H370" s="1" t="s">
        <v>199</v>
      </c>
      <c r="I370" s="1" t="s">
        <v>37</v>
      </c>
      <c r="J370" s="1">
        <v>7</v>
      </c>
      <c r="K370" s="2">
        <v>699</v>
      </c>
      <c r="L370" s="5">
        <v>4159.05</v>
      </c>
      <c r="M370" s="5">
        <v>525.45000000000005</v>
      </c>
      <c r="N370" s="1" t="s">
        <v>45</v>
      </c>
      <c r="O370" s="1" t="s">
        <v>22</v>
      </c>
      <c r="P370" s="1" t="str">
        <f t="shared" si="5"/>
        <v>Low Value</v>
      </c>
    </row>
    <row r="371" spans="1:16" x14ac:dyDescent="0.35">
      <c r="A371" s="3" t="s">
        <v>752</v>
      </c>
      <c r="B371" s="4">
        <v>45715</v>
      </c>
      <c r="C371" s="1" t="s">
        <v>618</v>
      </c>
      <c r="D371" s="1" t="s">
        <v>619</v>
      </c>
      <c r="E371" s="1" t="s">
        <v>172</v>
      </c>
      <c r="F371" s="1" t="s">
        <v>173</v>
      </c>
      <c r="G371" s="1" t="s">
        <v>177</v>
      </c>
      <c r="H371" s="1" t="s">
        <v>178</v>
      </c>
      <c r="I371" s="1" t="s">
        <v>20</v>
      </c>
      <c r="J371" s="1">
        <v>2</v>
      </c>
      <c r="K371" s="2">
        <v>2499</v>
      </c>
      <c r="L371" s="5">
        <v>3998.4</v>
      </c>
      <c r="M371" s="5">
        <v>756.23</v>
      </c>
      <c r="N371" s="1" t="s">
        <v>21</v>
      </c>
      <c r="O371" s="1" t="s">
        <v>136</v>
      </c>
      <c r="P371" s="1" t="str">
        <f t="shared" si="5"/>
        <v>Low Value</v>
      </c>
    </row>
    <row r="372" spans="1:16" x14ac:dyDescent="0.35">
      <c r="A372" s="3" t="s">
        <v>753</v>
      </c>
      <c r="B372" s="4">
        <v>45947</v>
      </c>
      <c r="C372" s="1" t="s">
        <v>388</v>
      </c>
      <c r="D372" s="1" t="s">
        <v>119</v>
      </c>
      <c r="E372" s="1" t="s">
        <v>111</v>
      </c>
      <c r="F372" s="1" t="s">
        <v>112</v>
      </c>
      <c r="G372" s="1" t="s">
        <v>213</v>
      </c>
      <c r="H372" s="1" t="s">
        <v>214</v>
      </c>
      <c r="I372" s="1" t="s">
        <v>107</v>
      </c>
      <c r="J372" s="1">
        <v>2</v>
      </c>
      <c r="K372" s="2">
        <v>1899</v>
      </c>
      <c r="L372" s="5">
        <v>3038.4</v>
      </c>
      <c r="M372" s="5">
        <v>850.34</v>
      </c>
      <c r="N372" s="1" t="s">
        <v>113</v>
      </c>
      <c r="O372" s="1" t="s">
        <v>22</v>
      </c>
      <c r="P372" s="1" t="str">
        <f t="shared" si="5"/>
        <v>Low Value</v>
      </c>
    </row>
    <row r="373" spans="1:16" x14ac:dyDescent="0.35">
      <c r="A373" s="3" t="s">
        <v>754</v>
      </c>
      <c r="B373" s="4">
        <v>45986</v>
      </c>
      <c r="C373" s="1" t="s">
        <v>159</v>
      </c>
      <c r="D373" s="1" t="s">
        <v>160</v>
      </c>
      <c r="E373" s="1" t="s">
        <v>85</v>
      </c>
      <c r="F373" s="1" t="s">
        <v>86</v>
      </c>
      <c r="G373" s="1" t="s">
        <v>254</v>
      </c>
      <c r="H373" s="1" t="s">
        <v>255</v>
      </c>
      <c r="I373" s="1" t="s">
        <v>30</v>
      </c>
      <c r="J373" s="1">
        <v>1</v>
      </c>
      <c r="K373" s="2">
        <v>719</v>
      </c>
      <c r="L373" s="5">
        <v>575.20000000000005</v>
      </c>
      <c r="M373" s="5">
        <v>187.26</v>
      </c>
      <c r="N373" s="1" t="s">
        <v>21</v>
      </c>
      <c r="O373" s="1" t="s">
        <v>136</v>
      </c>
      <c r="P373" s="1" t="str">
        <f t="shared" si="5"/>
        <v>Low Value</v>
      </c>
    </row>
    <row r="374" spans="1:16" x14ac:dyDescent="0.35">
      <c r="A374" s="3" t="s">
        <v>755</v>
      </c>
      <c r="B374" s="4">
        <v>45742</v>
      </c>
      <c r="C374" s="1" t="s">
        <v>647</v>
      </c>
      <c r="D374" s="1" t="s">
        <v>648</v>
      </c>
      <c r="E374" s="1" t="s">
        <v>16</v>
      </c>
      <c r="F374" s="1" t="s">
        <v>17</v>
      </c>
      <c r="G374" s="1" t="s">
        <v>42</v>
      </c>
      <c r="H374" s="1" t="s">
        <v>43</v>
      </c>
      <c r="I374" s="1" t="s">
        <v>44</v>
      </c>
      <c r="J374" s="1">
        <v>4</v>
      </c>
      <c r="K374" s="2">
        <v>899</v>
      </c>
      <c r="L374" s="5">
        <v>3416.2</v>
      </c>
      <c r="M374" s="5">
        <v>447.79</v>
      </c>
      <c r="N374" s="1" t="s">
        <v>45</v>
      </c>
      <c r="O374" s="1" t="s">
        <v>22</v>
      </c>
      <c r="P374" s="1" t="str">
        <f t="shared" si="5"/>
        <v>Low Value</v>
      </c>
    </row>
    <row r="375" spans="1:16" x14ac:dyDescent="0.35">
      <c r="A375" s="3" t="s">
        <v>756</v>
      </c>
      <c r="B375" s="4">
        <v>45864</v>
      </c>
      <c r="C375" s="1" t="s">
        <v>694</v>
      </c>
      <c r="D375" s="1" t="s">
        <v>695</v>
      </c>
      <c r="E375" s="1" t="s">
        <v>34</v>
      </c>
      <c r="F375" s="1" t="s">
        <v>27</v>
      </c>
      <c r="G375" s="1" t="s">
        <v>50</v>
      </c>
      <c r="H375" s="1" t="s">
        <v>51</v>
      </c>
      <c r="I375" s="1" t="s">
        <v>52</v>
      </c>
      <c r="J375" s="1">
        <v>8</v>
      </c>
      <c r="K375" s="2">
        <v>8399</v>
      </c>
      <c r="L375" s="5">
        <v>60472.800000000003</v>
      </c>
      <c r="M375" s="5">
        <v>8427.75</v>
      </c>
      <c r="N375" s="1" t="s">
        <v>113</v>
      </c>
      <c r="O375" s="1" t="s">
        <v>22</v>
      </c>
      <c r="P375" s="1" t="str">
        <f t="shared" si="5"/>
        <v>High Value</v>
      </c>
    </row>
    <row r="376" spans="1:16" x14ac:dyDescent="0.35">
      <c r="A376" s="3" t="s">
        <v>757</v>
      </c>
      <c r="B376" s="4">
        <v>45912</v>
      </c>
      <c r="C376" s="1" t="s">
        <v>489</v>
      </c>
      <c r="D376" s="1" t="s">
        <v>490</v>
      </c>
      <c r="E376" s="1" t="s">
        <v>166</v>
      </c>
      <c r="F376" s="1" t="s">
        <v>27</v>
      </c>
      <c r="G376" s="1" t="s">
        <v>120</v>
      </c>
      <c r="H376" s="1" t="s">
        <v>121</v>
      </c>
      <c r="I376" s="1" t="s">
        <v>20</v>
      </c>
      <c r="J376" s="1">
        <v>7</v>
      </c>
      <c r="K376" s="2">
        <v>1499</v>
      </c>
      <c r="L376" s="5">
        <v>10493</v>
      </c>
      <c r="M376" s="5">
        <v>2545.27</v>
      </c>
      <c r="N376" s="1" t="s">
        <v>89</v>
      </c>
      <c r="O376" s="1" t="s">
        <v>136</v>
      </c>
      <c r="P376" s="1" t="str">
        <f t="shared" si="5"/>
        <v>High Value</v>
      </c>
    </row>
    <row r="377" spans="1:16" x14ac:dyDescent="0.35">
      <c r="A377" s="3" t="s">
        <v>758</v>
      </c>
      <c r="B377" s="4">
        <v>45974</v>
      </c>
      <c r="C377" s="1" t="s">
        <v>315</v>
      </c>
      <c r="D377" s="1" t="s">
        <v>316</v>
      </c>
      <c r="E377" s="1" t="s">
        <v>49</v>
      </c>
      <c r="F377" s="1" t="s">
        <v>49</v>
      </c>
      <c r="G377" s="1" t="s">
        <v>213</v>
      </c>
      <c r="H377" s="1" t="s">
        <v>214</v>
      </c>
      <c r="I377" s="1" t="s">
        <v>107</v>
      </c>
      <c r="J377" s="1">
        <v>4</v>
      </c>
      <c r="K377" s="2">
        <v>2089</v>
      </c>
      <c r="L377" s="5">
        <v>6684.8</v>
      </c>
      <c r="M377" s="5">
        <v>1473.1</v>
      </c>
      <c r="N377" s="1" t="s">
        <v>59</v>
      </c>
      <c r="O377" s="1" t="s">
        <v>22</v>
      </c>
      <c r="P377" s="1" t="str">
        <f t="shared" si="5"/>
        <v>Medium Value</v>
      </c>
    </row>
    <row r="378" spans="1:16" x14ac:dyDescent="0.35">
      <c r="A378" s="3" t="s">
        <v>759</v>
      </c>
      <c r="B378" s="4">
        <v>45772</v>
      </c>
      <c r="C378" s="1" t="s">
        <v>496</v>
      </c>
      <c r="D378" s="1" t="s">
        <v>366</v>
      </c>
      <c r="E378" s="1" t="s">
        <v>111</v>
      </c>
      <c r="F378" s="1" t="s">
        <v>112</v>
      </c>
      <c r="G378" s="1" t="s">
        <v>254</v>
      </c>
      <c r="H378" s="1" t="s">
        <v>255</v>
      </c>
      <c r="I378" s="1" t="s">
        <v>30</v>
      </c>
      <c r="J378" s="1">
        <v>8</v>
      </c>
      <c r="K378" s="2">
        <v>879</v>
      </c>
      <c r="L378" s="5">
        <v>5625.6</v>
      </c>
      <c r="M378" s="5">
        <v>1124.7</v>
      </c>
      <c r="N378" s="1" t="s">
        <v>113</v>
      </c>
      <c r="O378" s="1" t="s">
        <v>22</v>
      </c>
      <c r="P378" s="1" t="str">
        <f t="shared" si="5"/>
        <v>Medium Value</v>
      </c>
    </row>
    <row r="379" spans="1:16" x14ac:dyDescent="0.35">
      <c r="A379" s="3" t="s">
        <v>760</v>
      </c>
      <c r="B379" s="4">
        <v>45771</v>
      </c>
      <c r="C379" s="1" t="s">
        <v>761</v>
      </c>
      <c r="D379" s="1" t="s">
        <v>461</v>
      </c>
      <c r="E379" s="1" t="s">
        <v>111</v>
      </c>
      <c r="F379" s="1" t="s">
        <v>112</v>
      </c>
      <c r="G379" s="1" t="s">
        <v>95</v>
      </c>
      <c r="H379" s="1" t="s">
        <v>96</v>
      </c>
      <c r="I379" s="1" t="s">
        <v>97</v>
      </c>
      <c r="J379" s="1">
        <v>5</v>
      </c>
      <c r="K379" s="2">
        <v>261</v>
      </c>
      <c r="L379" s="5">
        <v>1109.25</v>
      </c>
      <c r="M379" s="5">
        <v>224.35</v>
      </c>
      <c r="N379" s="1" t="s">
        <v>89</v>
      </c>
      <c r="O379" s="1" t="s">
        <v>22</v>
      </c>
      <c r="P379" s="1" t="str">
        <f t="shared" si="5"/>
        <v>Low Value</v>
      </c>
    </row>
    <row r="380" spans="1:16" x14ac:dyDescent="0.35">
      <c r="A380" s="3" t="s">
        <v>762</v>
      </c>
      <c r="B380" s="4">
        <v>45910</v>
      </c>
      <c r="C380" s="1" t="s">
        <v>483</v>
      </c>
      <c r="D380" s="1" t="s">
        <v>484</v>
      </c>
      <c r="E380" s="1" t="s">
        <v>75</v>
      </c>
      <c r="F380" s="1" t="s">
        <v>76</v>
      </c>
      <c r="G380" s="1" t="s">
        <v>120</v>
      </c>
      <c r="H380" s="1" t="s">
        <v>121</v>
      </c>
      <c r="I380" s="1" t="s">
        <v>20</v>
      </c>
      <c r="J380" s="1">
        <v>5</v>
      </c>
      <c r="K380" s="2">
        <v>1574</v>
      </c>
      <c r="L380" s="5">
        <v>7870</v>
      </c>
      <c r="M380" s="5">
        <v>1269.1099999999999</v>
      </c>
      <c r="N380" s="1" t="s">
        <v>113</v>
      </c>
      <c r="O380" s="1" t="s">
        <v>22</v>
      </c>
      <c r="P380" s="1" t="str">
        <f t="shared" si="5"/>
        <v>Medium Value</v>
      </c>
    </row>
    <row r="381" spans="1:16" x14ac:dyDescent="0.35">
      <c r="A381" s="3" t="s">
        <v>763</v>
      </c>
      <c r="B381" s="4">
        <v>45831</v>
      </c>
      <c r="C381" s="1" t="s">
        <v>191</v>
      </c>
      <c r="D381" s="1" t="s">
        <v>192</v>
      </c>
      <c r="E381" s="1" t="s">
        <v>75</v>
      </c>
      <c r="F381" s="1" t="s">
        <v>76</v>
      </c>
      <c r="G381" s="1" t="s">
        <v>177</v>
      </c>
      <c r="H381" s="1" t="s">
        <v>178</v>
      </c>
      <c r="I381" s="1" t="s">
        <v>20</v>
      </c>
      <c r="J381" s="1">
        <v>2</v>
      </c>
      <c r="K381" s="2">
        <v>2499</v>
      </c>
      <c r="L381" s="5">
        <v>4498.2</v>
      </c>
      <c r="M381" s="5">
        <v>1191.4000000000001</v>
      </c>
      <c r="N381" s="1" t="s">
        <v>21</v>
      </c>
      <c r="O381" s="1" t="s">
        <v>22</v>
      </c>
      <c r="P381" s="1" t="str">
        <f t="shared" si="5"/>
        <v>Low Value</v>
      </c>
    </row>
    <row r="382" spans="1:16" x14ac:dyDescent="0.35">
      <c r="A382" s="3" t="s">
        <v>764</v>
      </c>
      <c r="B382" s="4">
        <v>45660</v>
      </c>
      <c r="C382" s="1" t="s">
        <v>150</v>
      </c>
      <c r="D382" s="1" t="s">
        <v>151</v>
      </c>
      <c r="E382" s="1" t="s">
        <v>26</v>
      </c>
      <c r="F382" s="1" t="s">
        <v>27</v>
      </c>
      <c r="G382" s="1" t="s">
        <v>254</v>
      </c>
      <c r="H382" s="1" t="s">
        <v>255</v>
      </c>
      <c r="I382" s="1" t="s">
        <v>30</v>
      </c>
      <c r="J382" s="1">
        <v>7</v>
      </c>
      <c r="K382" s="2">
        <v>839</v>
      </c>
      <c r="L382" s="5">
        <v>5285.7</v>
      </c>
      <c r="M382" s="5">
        <v>1709.19</v>
      </c>
      <c r="N382" s="1" t="s">
        <v>45</v>
      </c>
      <c r="O382" s="1" t="s">
        <v>22</v>
      </c>
      <c r="P382" s="1" t="str">
        <f t="shared" si="5"/>
        <v>Medium Value</v>
      </c>
    </row>
    <row r="383" spans="1:16" x14ac:dyDescent="0.35">
      <c r="A383" s="3" t="s">
        <v>765</v>
      </c>
      <c r="B383" s="4">
        <v>45723</v>
      </c>
      <c r="C383" s="1" t="s">
        <v>194</v>
      </c>
      <c r="D383" s="1" t="s">
        <v>195</v>
      </c>
      <c r="E383" s="1" t="s">
        <v>145</v>
      </c>
      <c r="F383" s="1" t="s">
        <v>0</v>
      </c>
      <c r="G383" s="1" t="s">
        <v>131</v>
      </c>
      <c r="H383" s="1" t="s">
        <v>132</v>
      </c>
      <c r="I383" s="1" t="s">
        <v>44</v>
      </c>
      <c r="J383" s="1">
        <v>6</v>
      </c>
      <c r="K383" s="2">
        <v>576</v>
      </c>
      <c r="L383" s="5">
        <v>3110.4</v>
      </c>
      <c r="M383" s="5">
        <v>659.74</v>
      </c>
      <c r="N383" s="1" t="s">
        <v>21</v>
      </c>
      <c r="O383" s="1" t="s">
        <v>90</v>
      </c>
      <c r="P383" s="1" t="str">
        <f t="shared" si="5"/>
        <v>Low Value</v>
      </c>
    </row>
    <row r="384" spans="1:16" x14ac:dyDescent="0.35">
      <c r="A384" s="3" t="s">
        <v>766</v>
      </c>
      <c r="B384" s="4">
        <v>45798</v>
      </c>
      <c r="C384" s="1" t="s">
        <v>399</v>
      </c>
      <c r="D384" s="1" t="s">
        <v>400</v>
      </c>
      <c r="E384" s="1" t="s">
        <v>111</v>
      </c>
      <c r="F384" s="1" t="s">
        <v>112</v>
      </c>
      <c r="G384" s="1" t="s">
        <v>70</v>
      </c>
      <c r="H384" s="1" t="s">
        <v>71</v>
      </c>
      <c r="I384" s="1" t="s">
        <v>44</v>
      </c>
      <c r="J384" s="1">
        <v>8</v>
      </c>
      <c r="K384" s="2">
        <v>3299</v>
      </c>
      <c r="L384" s="5">
        <v>26392</v>
      </c>
      <c r="M384" s="5">
        <v>5563.54</v>
      </c>
      <c r="N384" s="1" t="s">
        <v>21</v>
      </c>
      <c r="O384" s="1" t="s">
        <v>22</v>
      </c>
      <c r="P384" s="1" t="str">
        <f t="shared" si="5"/>
        <v>High Value</v>
      </c>
    </row>
    <row r="385" spans="1:16" x14ac:dyDescent="0.35">
      <c r="A385" s="3" t="s">
        <v>767</v>
      </c>
      <c r="B385" s="4">
        <v>45938</v>
      </c>
      <c r="C385" s="1" t="s">
        <v>357</v>
      </c>
      <c r="D385" s="1" t="s">
        <v>328</v>
      </c>
      <c r="E385" s="1" t="s">
        <v>80</v>
      </c>
      <c r="F385" s="1" t="s">
        <v>81</v>
      </c>
      <c r="G385" s="1" t="s">
        <v>161</v>
      </c>
      <c r="H385" s="1" t="s">
        <v>162</v>
      </c>
      <c r="I385" s="1" t="s">
        <v>37</v>
      </c>
      <c r="J385" s="1">
        <v>4</v>
      </c>
      <c r="K385" s="2">
        <v>2299</v>
      </c>
      <c r="L385" s="5">
        <v>7816.6</v>
      </c>
      <c r="M385" s="5">
        <v>2166.48</v>
      </c>
      <c r="N385" s="1" t="s">
        <v>59</v>
      </c>
      <c r="O385" s="1" t="s">
        <v>90</v>
      </c>
      <c r="P385" s="1" t="str">
        <f t="shared" si="5"/>
        <v>Medium Value</v>
      </c>
    </row>
    <row r="386" spans="1:16" x14ac:dyDescent="0.35">
      <c r="A386" s="3" t="s">
        <v>768</v>
      </c>
      <c r="B386" s="4">
        <v>46021</v>
      </c>
      <c r="C386" s="1" t="s">
        <v>769</v>
      </c>
      <c r="D386" s="1" t="s">
        <v>100</v>
      </c>
      <c r="E386" s="1" t="s">
        <v>101</v>
      </c>
      <c r="F386" s="1" t="s">
        <v>86</v>
      </c>
      <c r="G386" s="1" t="s">
        <v>213</v>
      </c>
      <c r="H386" s="1" t="s">
        <v>214</v>
      </c>
      <c r="I386" s="1" t="s">
        <v>107</v>
      </c>
      <c r="J386" s="1">
        <v>6</v>
      </c>
      <c r="K386" s="2">
        <v>2089</v>
      </c>
      <c r="L386" s="5">
        <v>12534</v>
      </c>
      <c r="M386" s="5">
        <v>3601.9</v>
      </c>
      <c r="N386" s="1" t="s">
        <v>21</v>
      </c>
      <c r="O386" s="1" t="s">
        <v>22</v>
      </c>
      <c r="P386" s="1" t="str">
        <f t="shared" ref="P386:P449" si="6">IF(L386&gt;=10000,"High Value",IF(L386&gt;=5000,"Medium Value","Low Value"))</f>
        <v>High Value</v>
      </c>
    </row>
    <row r="387" spans="1:16" x14ac:dyDescent="0.35">
      <c r="A387" s="3" t="s">
        <v>770</v>
      </c>
      <c r="B387" s="4">
        <v>45999</v>
      </c>
      <c r="C387" s="1" t="s">
        <v>466</v>
      </c>
      <c r="D387" s="1" t="s">
        <v>467</v>
      </c>
      <c r="E387" s="1" t="s">
        <v>80</v>
      </c>
      <c r="F387" s="1" t="s">
        <v>81</v>
      </c>
      <c r="G387" s="1" t="s">
        <v>70</v>
      </c>
      <c r="H387" s="1" t="s">
        <v>71</v>
      </c>
      <c r="I387" s="1" t="s">
        <v>44</v>
      </c>
      <c r="J387" s="1">
        <v>7</v>
      </c>
      <c r="K387" s="2">
        <v>2969</v>
      </c>
      <c r="L387" s="5">
        <v>17665.55</v>
      </c>
      <c r="M387" s="5">
        <v>2533.66</v>
      </c>
      <c r="N387" s="1" t="s">
        <v>113</v>
      </c>
      <c r="O387" s="1" t="s">
        <v>22</v>
      </c>
      <c r="P387" s="1" t="str">
        <f t="shared" si="6"/>
        <v>High Value</v>
      </c>
    </row>
    <row r="388" spans="1:16" x14ac:dyDescent="0.35">
      <c r="A388" s="3" t="s">
        <v>771</v>
      </c>
      <c r="B388" s="4">
        <v>45686</v>
      </c>
      <c r="C388" s="1" t="s">
        <v>725</v>
      </c>
      <c r="D388" s="1" t="s">
        <v>224</v>
      </c>
      <c r="E388" s="1" t="s">
        <v>68</v>
      </c>
      <c r="F388" s="1" t="s">
        <v>69</v>
      </c>
      <c r="G388" s="1" t="s">
        <v>198</v>
      </c>
      <c r="H388" s="1" t="s">
        <v>199</v>
      </c>
      <c r="I388" s="1" t="s">
        <v>37</v>
      </c>
      <c r="J388" s="1">
        <v>5</v>
      </c>
      <c r="K388" s="2">
        <v>769</v>
      </c>
      <c r="L388" s="5">
        <v>3652.75</v>
      </c>
      <c r="M388" s="5">
        <v>556</v>
      </c>
      <c r="N388" s="1" t="s">
        <v>89</v>
      </c>
      <c r="O388" s="1" t="s">
        <v>22</v>
      </c>
      <c r="P388" s="1" t="str">
        <f t="shared" si="6"/>
        <v>Low Value</v>
      </c>
    </row>
    <row r="389" spans="1:16" x14ac:dyDescent="0.35">
      <c r="A389" s="3" t="s">
        <v>772</v>
      </c>
      <c r="B389" s="4">
        <v>45762</v>
      </c>
      <c r="C389" s="1" t="s">
        <v>243</v>
      </c>
      <c r="D389" s="1" t="s">
        <v>244</v>
      </c>
      <c r="E389" s="1" t="s">
        <v>26</v>
      </c>
      <c r="F389" s="1" t="s">
        <v>27</v>
      </c>
      <c r="G389" s="1" t="s">
        <v>95</v>
      </c>
      <c r="H389" s="1" t="s">
        <v>96</v>
      </c>
      <c r="I389" s="1" t="s">
        <v>97</v>
      </c>
      <c r="J389" s="1">
        <v>8</v>
      </c>
      <c r="K389" s="2">
        <v>224</v>
      </c>
      <c r="L389" s="5">
        <v>1523.2</v>
      </c>
      <c r="M389" s="5">
        <v>473.67</v>
      </c>
      <c r="N389" s="1" t="s">
        <v>21</v>
      </c>
      <c r="O389" s="1" t="s">
        <v>90</v>
      </c>
      <c r="P389" s="1" t="str">
        <f t="shared" si="6"/>
        <v>Low Value</v>
      </c>
    </row>
    <row r="390" spans="1:16" x14ac:dyDescent="0.35">
      <c r="A390" s="3" t="s">
        <v>773</v>
      </c>
      <c r="B390" s="4">
        <v>45989</v>
      </c>
      <c r="C390" s="1" t="s">
        <v>384</v>
      </c>
      <c r="D390" s="1" t="s">
        <v>306</v>
      </c>
      <c r="E390" s="1" t="s">
        <v>145</v>
      </c>
      <c r="F390" s="1" t="s">
        <v>0</v>
      </c>
      <c r="G390" s="1" t="s">
        <v>35</v>
      </c>
      <c r="H390" s="1" t="s">
        <v>36</v>
      </c>
      <c r="I390" s="1" t="s">
        <v>37</v>
      </c>
      <c r="J390" s="1">
        <v>5</v>
      </c>
      <c r="K390" s="2">
        <v>1429</v>
      </c>
      <c r="L390" s="5">
        <v>5716</v>
      </c>
      <c r="M390" s="5">
        <v>745</v>
      </c>
      <c r="N390" s="1" t="s">
        <v>113</v>
      </c>
      <c r="O390" s="1" t="s">
        <v>22</v>
      </c>
      <c r="P390" s="1" t="str">
        <f t="shared" si="6"/>
        <v>Medium Value</v>
      </c>
    </row>
    <row r="391" spans="1:16" x14ac:dyDescent="0.35">
      <c r="A391" s="3" t="s">
        <v>774</v>
      </c>
      <c r="B391" s="4">
        <v>45818</v>
      </c>
      <c r="C391" s="1" t="s">
        <v>83</v>
      </c>
      <c r="D391" s="1" t="s">
        <v>84</v>
      </c>
      <c r="E391" s="1" t="s">
        <v>26</v>
      </c>
      <c r="F391" s="1" t="s">
        <v>27</v>
      </c>
      <c r="G391" s="1" t="s">
        <v>63</v>
      </c>
      <c r="H391" s="1" t="s">
        <v>64</v>
      </c>
      <c r="I391" s="1" t="s">
        <v>20</v>
      </c>
      <c r="J391" s="1">
        <v>5</v>
      </c>
      <c r="K391" s="2">
        <v>599</v>
      </c>
      <c r="L391" s="5">
        <v>2545.75</v>
      </c>
      <c r="M391" s="5">
        <v>792.1</v>
      </c>
      <c r="N391" s="1" t="s">
        <v>113</v>
      </c>
      <c r="O391" s="1" t="s">
        <v>136</v>
      </c>
      <c r="P391" s="1" t="str">
        <f t="shared" si="6"/>
        <v>Low Value</v>
      </c>
    </row>
    <row r="392" spans="1:16" x14ac:dyDescent="0.35">
      <c r="A392" s="3" t="s">
        <v>775</v>
      </c>
      <c r="B392" s="4">
        <v>46018</v>
      </c>
      <c r="C392" s="1" t="s">
        <v>47</v>
      </c>
      <c r="D392" s="1" t="s">
        <v>48</v>
      </c>
      <c r="E392" s="1" t="s">
        <v>312</v>
      </c>
      <c r="F392" s="1" t="s">
        <v>112</v>
      </c>
      <c r="G392" s="1" t="s">
        <v>28</v>
      </c>
      <c r="H392" s="1" t="s">
        <v>29</v>
      </c>
      <c r="I392" s="1" t="s">
        <v>30</v>
      </c>
      <c r="J392" s="1">
        <v>4</v>
      </c>
      <c r="K392" s="2">
        <v>1759</v>
      </c>
      <c r="L392" s="5">
        <v>7036</v>
      </c>
      <c r="M392" s="5">
        <v>1299.68</v>
      </c>
      <c r="N392" s="1" t="s">
        <v>45</v>
      </c>
      <c r="O392" s="1" t="s">
        <v>53</v>
      </c>
      <c r="P392" s="1" t="str">
        <f t="shared" si="6"/>
        <v>Medium Value</v>
      </c>
    </row>
    <row r="393" spans="1:16" x14ac:dyDescent="0.35">
      <c r="A393" s="3" t="s">
        <v>776</v>
      </c>
      <c r="B393" s="4">
        <v>45753</v>
      </c>
      <c r="C393" s="1" t="s">
        <v>321</v>
      </c>
      <c r="D393" s="1" t="s">
        <v>322</v>
      </c>
      <c r="E393" s="1" t="s">
        <v>41</v>
      </c>
      <c r="F393" s="1" t="s">
        <v>17</v>
      </c>
      <c r="G393" s="1" t="s">
        <v>120</v>
      </c>
      <c r="H393" s="1" t="s">
        <v>121</v>
      </c>
      <c r="I393" s="1" t="s">
        <v>20</v>
      </c>
      <c r="J393" s="1">
        <v>7</v>
      </c>
      <c r="K393" s="2">
        <v>1349</v>
      </c>
      <c r="L393" s="5">
        <v>8498.7000000000007</v>
      </c>
      <c r="M393" s="5">
        <v>1541.7</v>
      </c>
      <c r="N393" s="1" t="s">
        <v>59</v>
      </c>
      <c r="O393" s="1" t="s">
        <v>22</v>
      </c>
      <c r="P393" s="1" t="str">
        <f t="shared" si="6"/>
        <v>Medium Value</v>
      </c>
    </row>
    <row r="394" spans="1:16" x14ac:dyDescent="0.35">
      <c r="A394" s="3" t="s">
        <v>777</v>
      </c>
      <c r="B394" s="4">
        <v>45788</v>
      </c>
      <c r="C394" s="1" t="s">
        <v>545</v>
      </c>
      <c r="D394" s="1" t="s">
        <v>546</v>
      </c>
      <c r="E394" s="1" t="s">
        <v>111</v>
      </c>
      <c r="F394" s="1" t="s">
        <v>112</v>
      </c>
      <c r="G394" s="1" t="s">
        <v>50</v>
      </c>
      <c r="H394" s="1" t="s">
        <v>51</v>
      </c>
      <c r="I394" s="1" t="s">
        <v>52</v>
      </c>
      <c r="J394" s="1">
        <v>3</v>
      </c>
      <c r="K394" s="2">
        <v>7199</v>
      </c>
      <c r="L394" s="5">
        <v>21597</v>
      </c>
      <c r="M394" s="5">
        <v>7003.87</v>
      </c>
      <c r="N394" s="1" t="s">
        <v>21</v>
      </c>
      <c r="O394" s="1" t="s">
        <v>22</v>
      </c>
      <c r="P394" s="1" t="str">
        <f t="shared" si="6"/>
        <v>High Value</v>
      </c>
    </row>
    <row r="395" spans="1:16" x14ac:dyDescent="0.35">
      <c r="A395" s="3" t="s">
        <v>778</v>
      </c>
      <c r="B395" s="4">
        <v>45973</v>
      </c>
      <c r="C395" s="1" t="s">
        <v>14</v>
      </c>
      <c r="D395" s="1" t="s">
        <v>15</v>
      </c>
      <c r="E395" s="1" t="s">
        <v>49</v>
      </c>
      <c r="F395" s="1" t="s">
        <v>49</v>
      </c>
      <c r="G395" s="1" t="s">
        <v>105</v>
      </c>
      <c r="H395" s="1" t="s">
        <v>106</v>
      </c>
      <c r="I395" s="1" t="s">
        <v>107</v>
      </c>
      <c r="J395" s="1">
        <v>6</v>
      </c>
      <c r="K395" s="2">
        <v>899</v>
      </c>
      <c r="L395" s="5">
        <v>4315.2</v>
      </c>
      <c r="M395" s="5">
        <v>819.58</v>
      </c>
      <c r="N395" s="1" t="s">
        <v>45</v>
      </c>
      <c r="O395" s="1" t="s">
        <v>53</v>
      </c>
      <c r="P395" s="1" t="str">
        <f t="shared" si="6"/>
        <v>Low Value</v>
      </c>
    </row>
    <row r="396" spans="1:16" x14ac:dyDescent="0.35">
      <c r="A396" s="3" t="s">
        <v>779</v>
      </c>
      <c r="B396" s="4">
        <v>45692</v>
      </c>
      <c r="C396" s="1" t="s">
        <v>126</v>
      </c>
      <c r="D396" s="1" t="s">
        <v>127</v>
      </c>
      <c r="E396" s="1" t="s">
        <v>101</v>
      </c>
      <c r="F396" s="1" t="s">
        <v>86</v>
      </c>
      <c r="G396" s="1" t="s">
        <v>87</v>
      </c>
      <c r="H396" s="1" t="s">
        <v>88</v>
      </c>
      <c r="I396" s="1" t="s">
        <v>52</v>
      </c>
      <c r="J396" s="1">
        <v>7</v>
      </c>
      <c r="K396" s="2">
        <v>5849</v>
      </c>
      <c r="L396" s="5">
        <v>38895.85</v>
      </c>
      <c r="M396" s="5">
        <v>6560.31</v>
      </c>
      <c r="N396" s="1" t="s">
        <v>45</v>
      </c>
      <c r="O396" s="1" t="s">
        <v>22</v>
      </c>
      <c r="P396" s="1" t="str">
        <f t="shared" si="6"/>
        <v>High Value</v>
      </c>
    </row>
    <row r="397" spans="1:16" x14ac:dyDescent="0.35">
      <c r="A397" s="3" t="s">
        <v>780</v>
      </c>
      <c r="B397" s="4">
        <v>45842</v>
      </c>
      <c r="C397" s="1" t="s">
        <v>423</v>
      </c>
      <c r="D397" s="1" t="s">
        <v>424</v>
      </c>
      <c r="E397" s="1" t="s">
        <v>236</v>
      </c>
      <c r="F397" s="1" t="s">
        <v>86</v>
      </c>
      <c r="G397" s="1" t="s">
        <v>131</v>
      </c>
      <c r="H397" s="1" t="s">
        <v>132</v>
      </c>
      <c r="I397" s="1" t="s">
        <v>44</v>
      </c>
      <c r="J397" s="1">
        <v>8</v>
      </c>
      <c r="K397" s="2">
        <v>576</v>
      </c>
      <c r="L397" s="5">
        <v>3686.4</v>
      </c>
      <c r="M397" s="5">
        <v>449.51</v>
      </c>
      <c r="N397" s="1" t="s">
        <v>59</v>
      </c>
      <c r="O397" s="1" t="s">
        <v>22</v>
      </c>
      <c r="P397" s="1" t="str">
        <f t="shared" si="6"/>
        <v>Low Value</v>
      </c>
    </row>
    <row r="398" spans="1:16" x14ac:dyDescent="0.35">
      <c r="A398" s="3" t="s">
        <v>781</v>
      </c>
      <c r="B398" s="4">
        <v>45972</v>
      </c>
      <c r="C398" s="1" t="s">
        <v>276</v>
      </c>
      <c r="D398" s="1" t="s">
        <v>277</v>
      </c>
      <c r="E398" s="1" t="s">
        <v>141</v>
      </c>
      <c r="F398" s="1" t="s">
        <v>69</v>
      </c>
      <c r="G398" s="1" t="s">
        <v>177</v>
      </c>
      <c r="H398" s="1" t="s">
        <v>178</v>
      </c>
      <c r="I398" s="1" t="s">
        <v>20</v>
      </c>
      <c r="J398" s="1">
        <v>6</v>
      </c>
      <c r="K398" s="2">
        <v>2499</v>
      </c>
      <c r="L398" s="5">
        <v>14994</v>
      </c>
      <c r="M398" s="5">
        <v>3072.16</v>
      </c>
      <c r="N398" s="1" t="s">
        <v>21</v>
      </c>
      <c r="O398" s="1" t="s">
        <v>22</v>
      </c>
      <c r="P398" s="1" t="str">
        <f t="shared" si="6"/>
        <v>High Value</v>
      </c>
    </row>
    <row r="399" spans="1:16" x14ac:dyDescent="0.35">
      <c r="A399" s="3" t="s">
        <v>782</v>
      </c>
      <c r="B399" s="4">
        <v>45922</v>
      </c>
      <c r="C399" s="1" t="s">
        <v>379</v>
      </c>
      <c r="D399" s="1" t="s">
        <v>380</v>
      </c>
      <c r="E399" s="1" t="s">
        <v>41</v>
      </c>
      <c r="F399" s="1" t="s">
        <v>17</v>
      </c>
      <c r="G399" s="1" t="s">
        <v>213</v>
      </c>
      <c r="H399" s="1" t="s">
        <v>214</v>
      </c>
      <c r="I399" s="1" t="s">
        <v>107</v>
      </c>
      <c r="J399" s="1">
        <v>8</v>
      </c>
      <c r="K399" s="2">
        <v>1899</v>
      </c>
      <c r="L399" s="5">
        <v>15192</v>
      </c>
      <c r="M399" s="5">
        <v>2813.79</v>
      </c>
      <c r="N399" s="1" t="s">
        <v>45</v>
      </c>
      <c r="O399" s="1" t="s">
        <v>22</v>
      </c>
      <c r="P399" s="1" t="str">
        <f t="shared" si="6"/>
        <v>High Value</v>
      </c>
    </row>
    <row r="400" spans="1:16" x14ac:dyDescent="0.35">
      <c r="A400" s="3" t="s">
        <v>783</v>
      </c>
      <c r="B400" s="4">
        <v>45707</v>
      </c>
      <c r="C400" s="1" t="s">
        <v>170</v>
      </c>
      <c r="D400" s="1" t="s">
        <v>171</v>
      </c>
      <c r="E400" s="1" t="s">
        <v>80</v>
      </c>
      <c r="F400" s="1" t="s">
        <v>81</v>
      </c>
      <c r="G400" s="1" t="s">
        <v>254</v>
      </c>
      <c r="H400" s="1" t="s">
        <v>255</v>
      </c>
      <c r="I400" s="1" t="s">
        <v>30</v>
      </c>
      <c r="J400" s="1">
        <v>1</v>
      </c>
      <c r="K400" s="2">
        <v>879</v>
      </c>
      <c r="L400" s="5">
        <v>879</v>
      </c>
      <c r="M400" s="5">
        <v>146.24</v>
      </c>
      <c r="N400" s="1" t="s">
        <v>45</v>
      </c>
      <c r="O400" s="1" t="s">
        <v>90</v>
      </c>
      <c r="P400" s="1" t="str">
        <f t="shared" si="6"/>
        <v>Low Value</v>
      </c>
    </row>
    <row r="401" spans="1:16" x14ac:dyDescent="0.35">
      <c r="A401" s="3" t="s">
        <v>784</v>
      </c>
      <c r="B401" s="4">
        <v>45711</v>
      </c>
      <c r="C401" s="1" t="s">
        <v>578</v>
      </c>
      <c r="D401" s="1" t="s">
        <v>579</v>
      </c>
      <c r="E401" s="1" t="s">
        <v>80</v>
      </c>
      <c r="F401" s="1" t="s">
        <v>81</v>
      </c>
      <c r="G401" s="1" t="s">
        <v>87</v>
      </c>
      <c r="H401" s="1" t="s">
        <v>88</v>
      </c>
      <c r="I401" s="1" t="s">
        <v>52</v>
      </c>
      <c r="J401" s="1">
        <v>2</v>
      </c>
      <c r="K401" s="2">
        <v>7149</v>
      </c>
      <c r="L401" s="5">
        <v>11438.4</v>
      </c>
      <c r="M401" s="5">
        <v>1759.52</v>
      </c>
      <c r="N401" s="1" t="s">
        <v>113</v>
      </c>
      <c r="O401" s="1" t="s">
        <v>22</v>
      </c>
      <c r="P401" s="1" t="str">
        <f t="shared" si="6"/>
        <v>High Value</v>
      </c>
    </row>
    <row r="402" spans="1:16" x14ac:dyDescent="0.35">
      <c r="A402" s="3" t="s">
        <v>785</v>
      </c>
      <c r="B402" s="4">
        <v>45702</v>
      </c>
      <c r="C402" s="1" t="s">
        <v>371</v>
      </c>
      <c r="D402" s="1" t="s">
        <v>372</v>
      </c>
      <c r="E402" s="1" t="s">
        <v>26</v>
      </c>
      <c r="F402" s="1" t="s">
        <v>27</v>
      </c>
      <c r="G402" s="1" t="s">
        <v>198</v>
      </c>
      <c r="H402" s="1" t="s">
        <v>199</v>
      </c>
      <c r="I402" s="1" t="s">
        <v>37</v>
      </c>
      <c r="J402" s="1">
        <v>5</v>
      </c>
      <c r="K402" s="2">
        <v>734</v>
      </c>
      <c r="L402" s="5">
        <v>3670</v>
      </c>
      <c r="M402" s="5">
        <v>904.62</v>
      </c>
      <c r="N402" s="1" t="s">
        <v>45</v>
      </c>
      <c r="O402" s="1" t="s">
        <v>90</v>
      </c>
      <c r="P402" s="1" t="str">
        <f t="shared" si="6"/>
        <v>Low Value</v>
      </c>
    </row>
    <row r="403" spans="1:16" x14ac:dyDescent="0.35">
      <c r="A403" s="3" t="s">
        <v>786</v>
      </c>
      <c r="B403" s="4">
        <v>45856</v>
      </c>
      <c r="C403" s="1" t="s">
        <v>334</v>
      </c>
      <c r="D403" s="1" t="s">
        <v>335</v>
      </c>
      <c r="E403" s="1" t="s">
        <v>145</v>
      </c>
      <c r="F403" s="1" t="s">
        <v>0</v>
      </c>
      <c r="G403" s="1" t="s">
        <v>87</v>
      </c>
      <c r="H403" s="1" t="s">
        <v>88</v>
      </c>
      <c r="I403" s="1" t="s">
        <v>52</v>
      </c>
      <c r="J403" s="1">
        <v>6</v>
      </c>
      <c r="K403" s="2">
        <v>5849</v>
      </c>
      <c r="L403" s="5">
        <v>31584.6</v>
      </c>
      <c r="M403" s="5">
        <v>8468.64</v>
      </c>
      <c r="N403" s="1" t="s">
        <v>21</v>
      </c>
      <c r="O403" s="1" t="s">
        <v>22</v>
      </c>
      <c r="P403" s="1" t="str">
        <f t="shared" si="6"/>
        <v>High Value</v>
      </c>
    </row>
    <row r="404" spans="1:16" x14ac:dyDescent="0.35">
      <c r="A404" s="3" t="s">
        <v>787</v>
      </c>
      <c r="B404" s="4">
        <v>45974</v>
      </c>
      <c r="C404" s="1" t="s">
        <v>226</v>
      </c>
      <c r="D404" s="1" t="s">
        <v>227</v>
      </c>
      <c r="E404" s="1" t="s">
        <v>26</v>
      </c>
      <c r="F404" s="1" t="s">
        <v>27</v>
      </c>
      <c r="G404" s="1" t="s">
        <v>182</v>
      </c>
      <c r="H404" s="1" t="s">
        <v>183</v>
      </c>
      <c r="I404" s="1" t="s">
        <v>20</v>
      </c>
      <c r="J404" s="1">
        <v>6</v>
      </c>
      <c r="K404" s="2">
        <v>1889</v>
      </c>
      <c r="L404" s="5">
        <v>11334</v>
      </c>
      <c r="M404" s="5">
        <v>2082.7800000000002</v>
      </c>
      <c r="N404" s="1" t="s">
        <v>59</v>
      </c>
      <c r="O404" s="1" t="s">
        <v>22</v>
      </c>
      <c r="P404" s="1" t="str">
        <f t="shared" si="6"/>
        <v>High Value</v>
      </c>
    </row>
    <row r="405" spans="1:16" x14ac:dyDescent="0.35">
      <c r="A405" s="3" t="s">
        <v>788</v>
      </c>
      <c r="B405" s="4">
        <v>45882</v>
      </c>
      <c r="C405" s="1" t="s">
        <v>103</v>
      </c>
      <c r="D405" s="1" t="s">
        <v>104</v>
      </c>
      <c r="E405" s="1" t="s">
        <v>145</v>
      </c>
      <c r="F405" s="1" t="s">
        <v>0</v>
      </c>
      <c r="G405" s="1" t="s">
        <v>63</v>
      </c>
      <c r="H405" s="1" t="s">
        <v>64</v>
      </c>
      <c r="I405" s="1" t="s">
        <v>20</v>
      </c>
      <c r="J405" s="1">
        <v>8</v>
      </c>
      <c r="K405" s="2">
        <v>599</v>
      </c>
      <c r="L405" s="5">
        <v>4073.2</v>
      </c>
      <c r="M405" s="5">
        <v>685.81</v>
      </c>
      <c r="N405" s="1" t="s">
        <v>113</v>
      </c>
      <c r="O405" s="1" t="s">
        <v>136</v>
      </c>
      <c r="P405" s="1" t="str">
        <f t="shared" si="6"/>
        <v>Low Value</v>
      </c>
    </row>
    <row r="406" spans="1:16" x14ac:dyDescent="0.35">
      <c r="A406" s="3" t="s">
        <v>789</v>
      </c>
      <c r="B406" s="4">
        <v>45809</v>
      </c>
      <c r="C406" s="1" t="s">
        <v>681</v>
      </c>
      <c r="D406" s="1" t="s">
        <v>682</v>
      </c>
      <c r="E406" s="1" t="s">
        <v>85</v>
      </c>
      <c r="F406" s="1" t="s">
        <v>86</v>
      </c>
      <c r="G406" s="1" t="s">
        <v>70</v>
      </c>
      <c r="H406" s="1" t="s">
        <v>71</v>
      </c>
      <c r="I406" s="1" t="s">
        <v>44</v>
      </c>
      <c r="J406" s="1">
        <v>6</v>
      </c>
      <c r="K406" s="2">
        <v>2969</v>
      </c>
      <c r="L406" s="5">
        <v>15141.9</v>
      </c>
      <c r="M406" s="5">
        <v>4731.07</v>
      </c>
      <c r="N406" s="1" t="s">
        <v>45</v>
      </c>
      <c r="O406" s="1" t="s">
        <v>22</v>
      </c>
      <c r="P406" s="1" t="str">
        <f t="shared" si="6"/>
        <v>High Value</v>
      </c>
    </row>
    <row r="407" spans="1:16" x14ac:dyDescent="0.35">
      <c r="A407" s="3" t="s">
        <v>790</v>
      </c>
      <c r="B407" s="4">
        <v>45951</v>
      </c>
      <c r="C407" s="1" t="s">
        <v>32</v>
      </c>
      <c r="D407" s="1" t="s">
        <v>33</v>
      </c>
      <c r="E407" s="1" t="s">
        <v>145</v>
      </c>
      <c r="F407" s="1" t="s">
        <v>0</v>
      </c>
      <c r="G407" s="1" t="s">
        <v>254</v>
      </c>
      <c r="H407" s="1" t="s">
        <v>255</v>
      </c>
      <c r="I407" s="1" t="s">
        <v>30</v>
      </c>
      <c r="J407" s="1">
        <v>2</v>
      </c>
      <c r="K407" s="2">
        <v>799</v>
      </c>
      <c r="L407" s="5">
        <v>1598</v>
      </c>
      <c r="M407" s="5">
        <v>454.83</v>
      </c>
      <c r="N407" s="1" t="s">
        <v>59</v>
      </c>
      <c r="O407" s="1" t="s">
        <v>22</v>
      </c>
      <c r="P407" s="1" t="str">
        <f t="shared" si="6"/>
        <v>Low Value</v>
      </c>
    </row>
    <row r="408" spans="1:16" x14ac:dyDescent="0.35">
      <c r="A408" s="3" t="s">
        <v>791</v>
      </c>
      <c r="B408" s="4">
        <v>45920</v>
      </c>
      <c r="C408" s="1" t="s">
        <v>792</v>
      </c>
      <c r="D408" s="1" t="s">
        <v>793</v>
      </c>
      <c r="E408" s="1" t="s">
        <v>101</v>
      </c>
      <c r="F408" s="1" t="s">
        <v>86</v>
      </c>
      <c r="G408" s="1" t="s">
        <v>198</v>
      </c>
      <c r="H408" s="1" t="s">
        <v>199</v>
      </c>
      <c r="I408" s="1" t="s">
        <v>37</v>
      </c>
      <c r="J408" s="1">
        <v>4</v>
      </c>
      <c r="K408" s="2">
        <v>734</v>
      </c>
      <c r="L408" s="5">
        <v>2789.2</v>
      </c>
      <c r="M408" s="5">
        <v>453.95</v>
      </c>
      <c r="N408" s="1" t="s">
        <v>45</v>
      </c>
      <c r="O408" s="1" t="s">
        <v>22</v>
      </c>
      <c r="P408" s="1" t="str">
        <f t="shared" si="6"/>
        <v>Low Value</v>
      </c>
    </row>
    <row r="409" spans="1:16" x14ac:dyDescent="0.35">
      <c r="A409" s="3" t="s">
        <v>794</v>
      </c>
      <c r="B409" s="4">
        <v>45685</v>
      </c>
      <c r="C409" s="1" t="s">
        <v>606</v>
      </c>
      <c r="D409" s="1" t="s">
        <v>74</v>
      </c>
      <c r="E409" s="1" t="s">
        <v>172</v>
      </c>
      <c r="F409" s="1" t="s">
        <v>173</v>
      </c>
      <c r="G409" s="1" t="s">
        <v>254</v>
      </c>
      <c r="H409" s="1" t="s">
        <v>255</v>
      </c>
      <c r="I409" s="1" t="s">
        <v>30</v>
      </c>
      <c r="J409" s="1">
        <v>2</v>
      </c>
      <c r="K409" s="2">
        <v>799</v>
      </c>
      <c r="L409" s="5">
        <v>1278.4000000000001</v>
      </c>
      <c r="M409" s="5">
        <v>172.35</v>
      </c>
      <c r="N409" s="1" t="s">
        <v>89</v>
      </c>
      <c r="O409" s="1" t="s">
        <v>22</v>
      </c>
      <c r="P409" s="1" t="str">
        <f t="shared" si="6"/>
        <v>Low Value</v>
      </c>
    </row>
    <row r="410" spans="1:16" x14ac:dyDescent="0.35">
      <c r="A410" s="3" t="s">
        <v>795</v>
      </c>
      <c r="B410" s="4">
        <v>45907</v>
      </c>
      <c r="C410" s="1" t="s">
        <v>419</v>
      </c>
      <c r="D410" s="1" t="s">
        <v>420</v>
      </c>
      <c r="E410" s="1" t="s">
        <v>312</v>
      </c>
      <c r="F410" s="1" t="s">
        <v>112</v>
      </c>
      <c r="G410" s="1" t="s">
        <v>18</v>
      </c>
      <c r="H410" s="1" t="s">
        <v>19</v>
      </c>
      <c r="I410" s="1" t="s">
        <v>20</v>
      </c>
      <c r="J410" s="1">
        <v>4</v>
      </c>
      <c r="K410" s="2">
        <v>3599</v>
      </c>
      <c r="L410" s="5">
        <v>13676.2</v>
      </c>
      <c r="M410" s="5">
        <v>3505.12</v>
      </c>
      <c r="N410" s="1" t="s">
        <v>45</v>
      </c>
      <c r="O410" s="1" t="s">
        <v>22</v>
      </c>
      <c r="P410" s="1" t="str">
        <f t="shared" si="6"/>
        <v>High Value</v>
      </c>
    </row>
    <row r="411" spans="1:16" x14ac:dyDescent="0.35">
      <c r="A411" s="3" t="s">
        <v>796</v>
      </c>
      <c r="B411" s="4">
        <v>45826</v>
      </c>
      <c r="C411" s="1" t="s">
        <v>404</v>
      </c>
      <c r="D411" s="1" t="s">
        <v>405</v>
      </c>
      <c r="E411" s="1" t="s">
        <v>49</v>
      </c>
      <c r="F411" s="1" t="s">
        <v>49</v>
      </c>
      <c r="G411" s="1" t="s">
        <v>28</v>
      </c>
      <c r="H411" s="1" t="s">
        <v>29</v>
      </c>
      <c r="I411" s="1" t="s">
        <v>30</v>
      </c>
      <c r="J411" s="1">
        <v>3</v>
      </c>
      <c r="K411" s="2">
        <v>1679</v>
      </c>
      <c r="L411" s="5">
        <v>4281.45</v>
      </c>
      <c r="M411" s="5">
        <v>857.1</v>
      </c>
      <c r="N411" s="1" t="s">
        <v>59</v>
      </c>
      <c r="O411" s="1" t="s">
        <v>53</v>
      </c>
      <c r="P411" s="1" t="str">
        <f t="shared" si="6"/>
        <v>Low Value</v>
      </c>
    </row>
    <row r="412" spans="1:16" x14ac:dyDescent="0.35">
      <c r="A412" s="3" t="s">
        <v>797</v>
      </c>
      <c r="B412" s="4">
        <v>45660</v>
      </c>
      <c r="C412" s="1" t="s">
        <v>357</v>
      </c>
      <c r="D412" s="1" t="s">
        <v>328</v>
      </c>
      <c r="E412" s="1" t="s">
        <v>141</v>
      </c>
      <c r="F412" s="1" t="s">
        <v>69</v>
      </c>
      <c r="G412" s="1" t="s">
        <v>35</v>
      </c>
      <c r="H412" s="1" t="s">
        <v>36</v>
      </c>
      <c r="I412" s="1" t="s">
        <v>37</v>
      </c>
      <c r="J412" s="1">
        <v>7</v>
      </c>
      <c r="K412" s="2">
        <v>1299</v>
      </c>
      <c r="L412" s="5">
        <v>8638.35</v>
      </c>
      <c r="M412" s="5">
        <v>1291.8399999999999</v>
      </c>
      <c r="N412" s="1" t="s">
        <v>59</v>
      </c>
      <c r="O412" s="1" t="s">
        <v>90</v>
      </c>
      <c r="P412" s="1" t="str">
        <f t="shared" si="6"/>
        <v>Medium Value</v>
      </c>
    </row>
    <row r="413" spans="1:16" x14ac:dyDescent="0.35">
      <c r="A413" s="3" t="s">
        <v>798</v>
      </c>
      <c r="B413" s="4">
        <v>45886</v>
      </c>
      <c r="C413" s="1" t="s">
        <v>413</v>
      </c>
      <c r="D413" s="1" t="s">
        <v>414</v>
      </c>
      <c r="E413" s="1" t="s">
        <v>49</v>
      </c>
      <c r="F413" s="1" t="s">
        <v>49</v>
      </c>
      <c r="G413" s="1" t="s">
        <v>105</v>
      </c>
      <c r="H413" s="1" t="s">
        <v>106</v>
      </c>
      <c r="I413" s="1" t="s">
        <v>107</v>
      </c>
      <c r="J413" s="1">
        <v>2</v>
      </c>
      <c r="K413" s="2">
        <v>999</v>
      </c>
      <c r="L413" s="5">
        <v>1598.4</v>
      </c>
      <c r="M413" s="5">
        <v>405.13</v>
      </c>
      <c r="N413" s="1" t="s">
        <v>59</v>
      </c>
      <c r="O413" s="1" t="s">
        <v>136</v>
      </c>
      <c r="P413" s="1" t="str">
        <f t="shared" si="6"/>
        <v>Low Value</v>
      </c>
    </row>
    <row r="414" spans="1:16" x14ac:dyDescent="0.35">
      <c r="A414" s="3" t="s">
        <v>799</v>
      </c>
      <c r="B414" s="4">
        <v>45933</v>
      </c>
      <c r="C414" s="1" t="s">
        <v>441</v>
      </c>
      <c r="D414" s="1" t="s">
        <v>442</v>
      </c>
      <c r="E414" s="1" t="s">
        <v>68</v>
      </c>
      <c r="F414" s="1" t="s">
        <v>69</v>
      </c>
      <c r="G414" s="1" t="s">
        <v>182</v>
      </c>
      <c r="H414" s="1" t="s">
        <v>183</v>
      </c>
      <c r="I414" s="1" t="s">
        <v>20</v>
      </c>
      <c r="J414" s="1">
        <v>2</v>
      </c>
      <c r="K414" s="2">
        <v>1619</v>
      </c>
      <c r="L414" s="5">
        <v>2752.3</v>
      </c>
      <c r="M414" s="5">
        <v>712.73</v>
      </c>
      <c r="N414" s="1" t="s">
        <v>21</v>
      </c>
      <c r="O414" s="1" t="s">
        <v>22</v>
      </c>
      <c r="P414" s="1" t="str">
        <f t="shared" si="6"/>
        <v>Low Value</v>
      </c>
    </row>
    <row r="415" spans="1:16" x14ac:dyDescent="0.35">
      <c r="A415" s="3" t="s">
        <v>800</v>
      </c>
      <c r="B415" s="4">
        <v>45766</v>
      </c>
      <c r="C415" s="1" t="s">
        <v>279</v>
      </c>
      <c r="D415" s="1" t="s">
        <v>280</v>
      </c>
      <c r="E415" s="1" t="s">
        <v>80</v>
      </c>
      <c r="F415" s="1" t="s">
        <v>81</v>
      </c>
      <c r="G415" s="1" t="s">
        <v>57</v>
      </c>
      <c r="H415" s="1" t="s">
        <v>58</v>
      </c>
      <c r="I415" s="1" t="s">
        <v>44</v>
      </c>
      <c r="J415" s="1">
        <v>8</v>
      </c>
      <c r="K415" s="2">
        <v>439</v>
      </c>
      <c r="L415" s="5">
        <v>3512</v>
      </c>
      <c r="M415" s="5">
        <v>704.09</v>
      </c>
      <c r="N415" s="1" t="s">
        <v>45</v>
      </c>
      <c r="O415" s="1" t="s">
        <v>90</v>
      </c>
      <c r="P415" s="1" t="str">
        <f t="shared" si="6"/>
        <v>Low Value</v>
      </c>
    </row>
    <row r="416" spans="1:16" x14ac:dyDescent="0.35">
      <c r="A416" s="3" t="s">
        <v>801</v>
      </c>
      <c r="B416" s="4">
        <v>45806</v>
      </c>
      <c r="C416" s="1" t="s">
        <v>802</v>
      </c>
      <c r="D416" s="1" t="s">
        <v>195</v>
      </c>
      <c r="E416" s="1" t="s">
        <v>172</v>
      </c>
      <c r="F416" s="1" t="s">
        <v>173</v>
      </c>
      <c r="G416" s="1" t="s">
        <v>213</v>
      </c>
      <c r="H416" s="1" t="s">
        <v>214</v>
      </c>
      <c r="I416" s="1" t="s">
        <v>107</v>
      </c>
      <c r="J416" s="1">
        <v>2</v>
      </c>
      <c r="K416" s="2">
        <v>1899</v>
      </c>
      <c r="L416" s="5">
        <v>3608.1</v>
      </c>
      <c r="M416" s="5">
        <v>831.58</v>
      </c>
      <c r="N416" s="1" t="s">
        <v>45</v>
      </c>
      <c r="O416" s="1" t="s">
        <v>136</v>
      </c>
      <c r="P416" s="1" t="str">
        <f t="shared" si="6"/>
        <v>Low Value</v>
      </c>
    </row>
    <row r="417" spans="1:16" x14ac:dyDescent="0.35">
      <c r="A417" s="3" t="s">
        <v>803</v>
      </c>
      <c r="B417" s="4">
        <v>46008</v>
      </c>
      <c r="C417" s="1" t="s">
        <v>170</v>
      </c>
      <c r="D417" s="1" t="s">
        <v>171</v>
      </c>
      <c r="E417" s="1" t="s">
        <v>41</v>
      </c>
      <c r="F417" s="1" t="s">
        <v>17</v>
      </c>
      <c r="G417" s="1" t="s">
        <v>18</v>
      </c>
      <c r="H417" s="1" t="s">
        <v>19</v>
      </c>
      <c r="I417" s="1" t="s">
        <v>20</v>
      </c>
      <c r="J417" s="1">
        <v>8</v>
      </c>
      <c r="K417" s="2">
        <v>3999</v>
      </c>
      <c r="L417" s="5">
        <v>31992</v>
      </c>
      <c r="M417" s="5">
        <v>7825.2</v>
      </c>
      <c r="N417" s="1" t="s">
        <v>21</v>
      </c>
      <c r="O417" s="1" t="s">
        <v>22</v>
      </c>
      <c r="P417" s="1" t="str">
        <f t="shared" si="6"/>
        <v>High Value</v>
      </c>
    </row>
    <row r="418" spans="1:16" x14ac:dyDescent="0.35">
      <c r="A418" s="3" t="s">
        <v>804</v>
      </c>
      <c r="B418" s="4">
        <v>45905</v>
      </c>
      <c r="C418" s="1" t="s">
        <v>413</v>
      </c>
      <c r="D418" s="1" t="s">
        <v>414</v>
      </c>
      <c r="E418" s="1" t="s">
        <v>26</v>
      </c>
      <c r="F418" s="1" t="s">
        <v>27</v>
      </c>
      <c r="G418" s="1" t="s">
        <v>35</v>
      </c>
      <c r="H418" s="1" t="s">
        <v>36</v>
      </c>
      <c r="I418" s="1" t="s">
        <v>37</v>
      </c>
      <c r="J418" s="1">
        <v>8</v>
      </c>
      <c r="K418" s="2">
        <v>1299</v>
      </c>
      <c r="L418" s="5">
        <v>10392</v>
      </c>
      <c r="M418" s="5">
        <v>1851.42</v>
      </c>
      <c r="N418" s="1" t="s">
        <v>45</v>
      </c>
      <c r="O418" s="1" t="s">
        <v>22</v>
      </c>
      <c r="P418" s="1" t="str">
        <f t="shared" si="6"/>
        <v>High Value</v>
      </c>
    </row>
    <row r="419" spans="1:16" x14ac:dyDescent="0.35">
      <c r="A419" s="3" t="s">
        <v>805</v>
      </c>
      <c r="B419" s="4">
        <v>45923</v>
      </c>
      <c r="C419" s="1" t="s">
        <v>806</v>
      </c>
      <c r="D419" s="1" t="s">
        <v>807</v>
      </c>
      <c r="E419" s="1" t="s">
        <v>145</v>
      </c>
      <c r="F419" s="1" t="s">
        <v>0</v>
      </c>
      <c r="G419" s="1" t="s">
        <v>105</v>
      </c>
      <c r="H419" s="1" t="s">
        <v>106</v>
      </c>
      <c r="I419" s="1" t="s">
        <v>107</v>
      </c>
      <c r="J419" s="1">
        <v>8</v>
      </c>
      <c r="K419" s="2">
        <v>899</v>
      </c>
      <c r="L419" s="5">
        <v>7192</v>
      </c>
      <c r="M419" s="5">
        <v>2414.5700000000002</v>
      </c>
      <c r="N419" s="1" t="s">
        <v>59</v>
      </c>
      <c r="O419" s="1" t="s">
        <v>22</v>
      </c>
      <c r="P419" s="1" t="str">
        <f t="shared" si="6"/>
        <v>Medium Value</v>
      </c>
    </row>
    <row r="420" spans="1:16" x14ac:dyDescent="0.35">
      <c r="A420" s="3" t="s">
        <v>808</v>
      </c>
      <c r="B420" s="4">
        <v>45982</v>
      </c>
      <c r="C420" s="1" t="s">
        <v>207</v>
      </c>
      <c r="D420" s="1" t="s">
        <v>208</v>
      </c>
      <c r="E420" s="1" t="s">
        <v>68</v>
      </c>
      <c r="F420" s="1" t="s">
        <v>69</v>
      </c>
      <c r="G420" s="1" t="s">
        <v>28</v>
      </c>
      <c r="H420" s="1" t="s">
        <v>29</v>
      </c>
      <c r="I420" s="1" t="s">
        <v>30</v>
      </c>
      <c r="J420" s="1">
        <v>3</v>
      </c>
      <c r="K420" s="2">
        <v>1599</v>
      </c>
      <c r="L420" s="5">
        <v>3837.6</v>
      </c>
      <c r="M420" s="5">
        <v>780.08</v>
      </c>
      <c r="N420" s="1" t="s">
        <v>21</v>
      </c>
      <c r="O420" s="1" t="s">
        <v>22</v>
      </c>
      <c r="P420" s="1" t="str">
        <f t="shared" si="6"/>
        <v>Low Value</v>
      </c>
    </row>
    <row r="421" spans="1:16" x14ac:dyDescent="0.35">
      <c r="A421" s="3" t="s">
        <v>809</v>
      </c>
      <c r="B421" s="4">
        <v>45922</v>
      </c>
      <c r="C421" s="1" t="s">
        <v>216</v>
      </c>
      <c r="D421" s="1" t="s">
        <v>217</v>
      </c>
      <c r="E421" s="1" t="s">
        <v>145</v>
      </c>
      <c r="F421" s="1" t="s">
        <v>0</v>
      </c>
      <c r="G421" s="1" t="s">
        <v>35</v>
      </c>
      <c r="H421" s="1" t="s">
        <v>36</v>
      </c>
      <c r="I421" s="1" t="s">
        <v>37</v>
      </c>
      <c r="J421" s="1">
        <v>7</v>
      </c>
      <c r="K421" s="2">
        <v>1299</v>
      </c>
      <c r="L421" s="5">
        <v>8638.35</v>
      </c>
      <c r="M421" s="5">
        <v>1961.85</v>
      </c>
      <c r="N421" s="1" t="s">
        <v>113</v>
      </c>
      <c r="O421" s="1" t="s">
        <v>90</v>
      </c>
      <c r="P421" s="1" t="str">
        <f t="shared" si="6"/>
        <v>Medium Value</v>
      </c>
    </row>
    <row r="422" spans="1:16" x14ac:dyDescent="0.35">
      <c r="A422" s="3" t="s">
        <v>810</v>
      </c>
      <c r="B422" s="4">
        <v>45914</v>
      </c>
      <c r="C422" s="1" t="s">
        <v>483</v>
      </c>
      <c r="D422" s="1" t="s">
        <v>484</v>
      </c>
      <c r="E422" s="1" t="s">
        <v>172</v>
      </c>
      <c r="F422" s="1" t="s">
        <v>173</v>
      </c>
      <c r="G422" s="1" t="s">
        <v>198</v>
      </c>
      <c r="H422" s="1" t="s">
        <v>199</v>
      </c>
      <c r="I422" s="1" t="s">
        <v>37</v>
      </c>
      <c r="J422" s="1">
        <v>4</v>
      </c>
      <c r="K422" s="2">
        <v>629</v>
      </c>
      <c r="L422" s="5">
        <v>2138.6</v>
      </c>
      <c r="M422" s="5">
        <v>559.38</v>
      </c>
      <c r="N422" s="1" t="s">
        <v>45</v>
      </c>
      <c r="O422" s="1" t="s">
        <v>22</v>
      </c>
      <c r="P422" s="1" t="str">
        <f t="shared" si="6"/>
        <v>Low Value</v>
      </c>
    </row>
    <row r="423" spans="1:16" x14ac:dyDescent="0.35">
      <c r="A423" s="3" t="s">
        <v>811</v>
      </c>
      <c r="B423" s="4">
        <v>45843</v>
      </c>
      <c r="C423" s="1" t="s">
        <v>429</v>
      </c>
      <c r="D423" s="1" t="s">
        <v>430</v>
      </c>
      <c r="E423" s="1" t="s">
        <v>94</v>
      </c>
      <c r="F423" s="1" t="s">
        <v>27</v>
      </c>
      <c r="G423" s="1" t="s">
        <v>35</v>
      </c>
      <c r="H423" s="1" t="s">
        <v>36</v>
      </c>
      <c r="I423" s="1" t="s">
        <v>37</v>
      </c>
      <c r="J423" s="1">
        <v>7</v>
      </c>
      <c r="K423" s="2">
        <v>1299</v>
      </c>
      <c r="L423" s="5">
        <v>7274.4</v>
      </c>
      <c r="M423" s="5">
        <v>1054.31</v>
      </c>
      <c r="N423" s="1" t="s">
        <v>113</v>
      </c>
      <c r="O423" s="1" t="s">
        <v>22</v>
      </c>
      <c r="P423" s="1" t="str">
        <f t="shared" si="6"/>
        <v>Medium Value</v>
      </c>
    </row>
    <row r="424" spans="1:16" x14ac:dyDescent="0.35">
      <c r="A424" s="3" t="s">
        <v>812</v>
      </c>
      <c r="B424" s="4">
        <v>45740</v>
      </c>
      <c r="C424" s="1" t="s">
        <v>47</v>
      </c>
      <c r="D424" s="1" t="s">
        <v>48</v>
      </c>
      <c r="E424" s="1" t="s">
        <v>75</v>
      </c>
      <c r="F424" s="1" t="s">
        <v>76</v>
      </c>
      <c r="G424" s="1" t="s">
        <v>63</v>
      </c>
      <c r="H424" s="1" t="s">
        <v>64</v>
      </c>
      <c r="I424" s="1" t="s">
        <v>20</v>
      </c>
      <c r="J424" s="1">
        <v>4</v>
      </c>
      <c r="K424" s="2">
        <v>539</v>
      </c>
      <c r="L424" s="5">
        <v>2156</v>
      </c>
      <c r="M424" s="5">
        <v>530.74</v>
      </c>
      <c r="N424" s="1" t="s">
        <v>45</v>
      </c>
      <c r="O424" s="1" t="s">
        <v>22</v>
      </c>
      <c r="P424" s="1" t="str">
        <f t="shared" si="6"/>
        <v>Low Value</v>
      </c>
    </row>
    <row r="425" spans="1:16" x14ac:dyDescent="0.35">
      <c r="A425" s="3" t="s">
        <v>813</v>
      </c>
      <c r="B425" s="4">
        <v>45678</v>
      </c>
      <c r="C425" s="1" t="s">
        <v>492</v>
      </c>
      <c r="D425" s="1" t="s">
        <v>493</v>
      </c>
      <c r="E425" s="1" t="s">
        <v>85</v>
      </c>
      <c r="F425" s="1" t="s">
        <v>86</v>
      </c>
      <c r="G425" s="1" t="s">
        <v>177</v>
      </c>
      <c r="H425" s="1" t="s">
        <v>178</v>
      </c>
      <c r="I425" s="1" t="s">
        <v>20</v>
      </c>
      <c r="J425" s="1">
        <v>3</v>
      </c>
      <c r="K425" s="2">
        <v>2499</v>
      </c>
      <c r="L425" s="5">
        <v>7497</v>
      </c>
      <c r="M425" s="5">
        <v>1751.76</v>
      </c>
      <c r="N425" s="1" t="s">
        <v>113</v>
      </c>
      <c r="O425" s="1" t="s">
        <v>22</v>
      </c>
      <c r="P425" s="1" t="str">
        <f t="shared" si="6"/>
        <v>Medium Value</v>
      </c>
    </row>
    <row r="426" spans="1:16" x14ac:dyDescent="0.35">
      <c r="A426" s="3" t="s">
        <v>814</v>
      </c>
      <c r="B426" s="4">
        <v>45984</v>
      </c>
      <c r="C426" s="1" t="s">
        <v>470</v>
      </c>
      <c r="D426" s="1" t="s">
        <v>266</v>
      </c>
      <c r="E426" s="1" t="s">
        <v>49</v>
      </c>
      <c r="F426" s="1" t="s">
        <v>49</v>
      </c>
      <c r="G426" s="1" t="s">
        <v>182</v>
      </c>
      <c r="H426" s="1" t="s">
        <v>183</v>
      </c>
      <c r="I426" s="1" t="s">
        <v>20</v>
      </c>
      <c r="J426" s="1">
        <v>4</v>
      </c>
      <c r="K426" s="2">
        <v>1799</v>
      </c>
      <c r="L426" s="5">
        <v>6116.6</v>
      </c>
      <c r="M426" s="5">
        <v>2069.92</v>
      </c>
      <c r="N426" s="1" t="s">
        <v>113</v>
      </c>
      <c r="O426" s="1" t="s">
        <v>22</v>
      </c>
      <c r="P426" s="1" t="str">
        <f t="shared" si="6"/>
        <v>Medium Value</v>
      </c>
    </row>
    <row r="427" spans="1:16" x14ac:dyDescent="0.35">
      <c r="A427" s="3" t="s">
        <v>815</v>
      </c>
      <c r="B427" s="4">
        <v>45965</v>
      </c>
      <c r="C427" s="1" t="s">
        <v>792</v>
      </c>
      <c r="D427" s="1" t="s">
        <v>793</v>
      </c>
      <c r="E427" s="1" t="s">
        <v>101</v>
      </c>
      <c r="F427" s="1" t="s">
        <v>86</v>
      </c>
      <c r="G427" s="1" t="s">
        <v>131</v>
      </c>
      <c r="H427" s="1" t="s">
        <v>132</v>
      </c>
      <c r="I427" s="1" t="s">
        <v>44</v>
      </c>
      <c r="J427" s="1">
        <v>5</v>
      </c>
      <c r="K427" s="2">
        <v>549</v>
      </c>
      <c r="L427" s="5">
        <v>2196</v>
      </c>
      <c r="M427" s="5">
        <v>594.74</v>
      </c>
      <c r="N427" s="1" t="s">
        <v>113</v>
      </c>
      <c r="O427" s="1" t="s">
        <v>22</v>
      </c>
      <c r="P427" s="1" t="str">
        <f t="shared" si="6"/>
        <v>Low Value</v>
      </c>
    </row>
    <row r="428" spans="1:16" x14ac:dyDescent="0.35">
      <c r="A428" s="3" t="s">
        <v>816</v>
      </c>
      <c r="B428" s="4">
        <v>45775</v>
      </c>
      <c r="C428" s="1" t="s">
        <v>349</v>
      </c>
      <c r="D428" s="1" t="s">
        <v>350</v>
      </c>
      <c r="E428" s="1" t="s">
        <v>145</v>
      </c>
      <c r="F428" s="1" t="s">
        <v>0</v>
      </c>
      <c r="G428" s="1" t="s">
        <v>18</v>
      </c>
      <c r="H428" s="1" t="s">
        <v>19</v>
      </c>
      <c r="I428" s="1" t="s">
        <v>20</v>
      </c>
      <c r="J428" s="1">
        <v>2</v>
      </c>
      <c r="K428" s="2">
        <v>3599</v>
      </c>
      <c r="L428" s="5">
        <v>7198</v>
      </c>
      <c r="M428" s="5">
        <v>1691.5</v>
      </c>
      <c r="N428" s="1" t="s">
        <v>21</v>
      </c>
      <c r="O428" s="1" t="s">
        <v>22</v>
      </c>
      <c r="P428" s="1" t="str">
        <f t="shared" si="6"/>
        <v>Medium Value</v>
      </c>
    </row>
    <row r="429" spans="1:16" x14ac:dyDescent="0.35">
      <c r="A429" s="3" t="s">
        <v>817</v>
      </c>
      <c r="B429" s="4">
        <v>45968</v>
      </c>
      <c r="C429" s="1" t="s">
        <v>600</v>
      </c>
      <c r="D429" s="1" t="s">
        <v>601</v>
      </c>
      <c r="E429" s="1" t="s">
        <v>101</v>
      </c>
      <c r="F429" s="1" t="s">
        <v>86</v>
      </c>
      <c r="G429" s="1" t="s">
        <v>105</v>
      </c>
      <c r="H429" s="1" t="s">
        <v>106</v>
      </c>
      <c r="I429" s="1" t="s">
        <v>107</v>
      </c>
      <c r="J429" s="1">
        <v>1</v>
      </c>
      <c r="K429" s="2">
        <v>1049</v>
      </c>
      <c r="L429" s="5">
        <v>891.65</v>
      </c>
      <c r="M429" s="5">
        <v>254.59</v>
      </c>
      <c r="N429" s="1" t="s">
        <v>89</v>
      </c>
      <c r="O429" s="1" t="s">
        <v>22</v>
      </c>
      <c r="P429" s="1" t="str">
        <f t="shared" si="6"/>
        <v>Low Value</v>
      </c>
    </row>
    <row r="430" spans="1:16" x14ac:dyDescent="0.35">
      <c r="A430" s="3" t="s">
        <v>818</v>
      </c>
      <c r="B430" s="4">
        <v>45966</v>
      </c>
      <c r="C430" s="1" t="s">
        <v>243</v>
      </c>
      <c r="D430" s="1" t="s">
        <v>244</v>
      </c>
      <c r="E430" s="1" t="s">
        <v>166</v>
      </c>
      <c r="F430" s="1" t="s">
        <v>27</v>
      </c>
      <c r="G430" s="1" t="s">
        <v>87</v>
      </c>
      <c r="H430" s="1" t="s">
        <v>88</v>
      </c>
      <c r="I430" s="1" t="s">
        <v>52</v>
      </c>
      <c r="J430" s="1">
        <v>7</v>
      </c>
      <c r="K430" s="2">
        <v>6499</v>
      </c>
      <c r="L430" s="5">
        <v>45493</v>
      </c>
      <c r="M430" s="5">
        <v>12441.49</v>
      </c>
      <c r="N430" s="1" t="s">
        <v>113</v>
      </c>
      <c r="O430" s="1" t="s">
        <v>22</v>
      </c>
      <c r="P430" s="1" t="str">
        <f t="shared" si="6"/>
        <v>High Value</v>
      </c>
    </row>
    <row r="431" spans="1:16" x14ac:dyDescent="0.35">
      <c r="A431" s="3" t="s">
        <v>819</v>
      </c>
      <c r="B431" s="4">
        <v>45853</v>
      </c>
      <c r="C431" s="1" t="s">
        <v>365</v>
      </c>
      <c r="D431" s="1" t="s">
        <v>366</v>
      </c>
      <c r="E431" s="1" t="s">
        <v>94</v>
      </c>
      <c r="F431" s="1" t="s">
        <v>27</v>
      </c>
      <c r="G431" s="1" t="s">
        <v>87</v>
      </c>
      <c r="H431" s="1" t="s">
        <v>88</v>
      </c>
      <c r="I431" s="1" t="s">
        <v>52</v>
      </c>
      <c r="J431" s="1">
        <v>3</v>
      </c>
      <c r="K431" s="2">
        <v>6499</v>
      </c>
      <c r="L431" s="5">
        <v>17547.3</v>
      </c>
      <c r="M431" s="5">
        <v>5062.2</v>
      </c>
      <c r="N431" s="1" t="s">
        <v>89</v>
      </c>
      <c r="O431" s="1" t="s">
        <v>22</v>
      </c>
      <c r="P431" s="1" t="str">
        <f t="shared" si="6"/>
        <v>High Value</v>
      </c>
    </row>
    <row r="432" spans="1:16" x14ac:dyDescent="0.35">
      <c r="A432" s="3" t="s">
        <v>820</v>
      </c>
      <c r="B432" s="4">
        <v>45867</v>
      </c>
      <c r="C432" s="1" t="s">
        <v>302</v>
      </c>
      <c r="D432" s="1" t="s">
        <v>303</v>
      </c>
      <c r="E432" s="1" t="s">
        <v>236</v>
      </c>
      <c r="F432" s="1" t="s">
        <v>86</v>
      </c>
      <c r="G432" s="1" t="s">
        <v>63</v>
      </c>
      <c r="H432" s="1" t="s">
        <v>64</v>
      </c>
      <c r="I432" s="1" t="s">
        <v>20</v>
      </c>
      <c r="J432" s="1">
        <v>1</v>
      </c>
      <c r="K432" s="2">
        <v>629</v>
      </c>
      <c r="L432" s="5">
        <v>534.65</v>
      </c>
      <c r="M432" s="5">
        <v>78.02</v>
      </c>
      <c r="N432" s="1" t="s">
        <v>89</v>
      </c>
      <c r="O432" s="1" t="s">
        <v>22</v>
      </c>
      <c r="P432" s="1" t="str">
        <f t="shared" si="6"/>
        <v>Low Value</v>
      </c>
    </row>
    <row r="433" spans="1:16" x14ac:dyDescent="0.35">
      <c r="A433" s="3" t="s">
        <v>821</v>
      </c>
      <c r="B433" s="4">
        <v>46010</v>
      </c>
      <c r="C433" s="1" t="s">
        <v>357</v>
      </c>
      <c r="D433" s="1" t="s">
        <v>328</v>
      </c>
      <c r="E433" s="1" t="s">
        <v>75</v>
      </c>
      <c r="F433" s="1" t="s">
        <v>76</v>
      </c>
      <c r="G433" s="1" t="s">
        <v>95</v>
      </c>
      <c r="H433" s="1" t="s">
        <v>96</v>
      </c>
      <c r="I433" s="1" t="s">
        <v>97</v>
      </c>
      <c r="J433" s="1">
        <v>2</v>
      </c>
      <c r="K433" s="2">
        <v>249</v>
      </c>
      <c r="L433" s="5">
        <v>448.2</v>
      </c>
      <c r="M433" s="5">
        <v>118.03</v>
      </c>
      <c r="N433" s="1" t="s">
        <v>59</v>
      </c>
      <c r="O433" s="1" t="s">
        <v>22</v>
      </c>
      <c r="P433" s="1" t="str">
        <f t="shared" si="6"/>
        <v>Low Value</v>
      </c>
    </row>
    <row r="434" spans="1:16" x14ac:dyDescent="0.35">
      <c r="A434" s="3" t="s">
        <v>822</v>
      </c>
      <c r="B434" s="4">
        <v>45874</v>
      </c>
      <c r="C434" s="1" t="s">
        <v>555</v>
      </c>
      <c r="D434" s="1" t="s">
        <v>453</v>
      </c>
      <c r="E434" s="1" t="s">
        <v>312</v>
      </c>
      <c r="F434" s="1" t="s">
        <v>112</v>
      </c>
      <c r="G434" s="1" t="s">
        <v>131</v>
      </c>
      <c r="H434" s="1" t="s">
        <v>132</v>
      </c>
      <c r="I434" s="1" t="s">
        <v>44</v>
      </c>
      <c r="J434" s="1">
        <v>5</v>
      </c>
      <c r="K434" s="2">
        <v>604</v>
      </c>
      <c r="L434" s="5">
        <v>2718</v>
      </c>
      <c r="M434" s="5">
        <v>777.6</v>
      </c>
      <c r="N434" s="1" t="s">
        <v>113</v>
      </c>
      <c r="O434" s="1" t="s">
        <v>22</v>
      </c>
      <c r="P434" s="1" t="str">
        <f t="shared" si="6"/>
        <v>Low Value</v>
      </c>
    </row>
    <row r="435" spans="1:16" x14ac:dyDescent="0.35">
      <c r="A435" s="3" t="s">
        <v>823</v>
      </c>
      <c r="B435" s="4">
        <v>45905</v>
      </c>
      <c r="C435" s="1" t="s">
        <v>368</v>
      </c>
      <c r="D435" s="1" t="s">
        <v>217</v>
      </c>
      <c r="E435" s="1" t="s">
        <v>312</v>
      </c>
      <c r="F435" s="1" t="s">
        <v>112</v>
      </c>
      <c r="G435" s="1" t="s">
        <v>254</v>
      </c>
      <c r="H435" s="1" t="s">
        <v>255</v>
      </c>
      <c r="I435" s="1" t="s">
        <v>30</v>
      </c>
      <c r="J435" s="1">
        <v>8</v>
      </c>
      <c r="K435" s="2">
        <v>799</v>
      </c>
      <c r="L435" s="5">
        <v>6072.4</v>
      </c>
      <c r="M435" s="5">
        <v>1500.39</v>
      </c>
      <c r="N435" s="1" t="s">
        <v>113</v>
      </c>
      <c r="O435" s="1" t="s">
        <v>22</v>
      </c>
      <c r="P435" s="1" t="str">
        <f t="shared" si="6"/>
        <v>Medium Value</v>
      </c>
    </row>
    <row r="436" spans="1:16" x14ac:dyDescent="0.35">
      <c r="A436" s="3" t="s">
        <v>824</v>
      </c>
      <c r="B436" s="4">
        <v>45718</v>
      </c>
      <c r="C436" s="1" t="s">
        <v>246</v>
      </c>
      <c r="D436" s="1" t="s">
        <v>247</v>
      </c>
      <c r="E436" s="1" t="s">
        <v>172</v>
      </c>
      <c r="F436" s="1" t="s">
        <v>173</v>
      </c>
      <c r="G436" s="1" t="s">
        <v>198</v>
      </c>
      <c r="H436" s="1" t="s">
        <v>199</v>
      </c>
      <c r="I436" s="1" t="s">
        <v>37</v>
      </c>
      <c r="J436" s="1">
        <v>2</v>
      </c>
      <c r="K436" s="2">
        <v>699</v>
      </c>
      <c r="L436" s="5">
        <v>1188.3</v>
      </c>
      <c r="M436" s="5">
        <v>247.31</v>
      </c>
      <c r="N436" s="1" t="s">
        <v>59</v>
      </c>
      <c r="O436" s="1" t="s">
        <v>136</v>
      </c>
      <c r="P436" s="1" t="str">
        <f t="shared" si="6"/>
        <v>Low Value</v>
      </c>
    </row>
    <row r="437" spans="1:16" x14ac:dyDescent="0.35">
      <c r="A437" s="3" t="s">
        <v>825</v>
      </c>
      <c r="B437" s="4">
        <v>46014</v>
      </c>
      <c r="C437" s="1" t="s">
        <v>826</v>
      </c>
      <c r="D437" s="1" t="s">
        <v>827</v>
      </c>
      <c r="E437" s="1" t="s">
        <v>26</v>
      </c>
      <c r="F437" s="1" t="s">
        <v>27</v>
      </c>
      <c r="G437" s="1" t="s">
        <v>198</v>
      </c>
      <c r="H437" s="1" t="s">
        <v>199</v>
      </c>
      <c r="I437" s="1" t="s">
        <v>37</v>
      </c>
      <c r="J437" s="1">
        <v>7</v>
      </c>
      <c r="K437" s="2">
        <v>769</v>
      </c>
      <c r="L437" s="5">
        <v>5383</v>
      </c>
      <c r="M437" s="5">
        <v>1598.54</v>
      </c>
      <c r="N437" s="1" t="s">
        <v>45</v>
      </c>
      <c r="O437" s="1" t="s">
        <v>22</v>
      </c>
      <c r="P437" s="1" t="str">
        <f t="shared" si="6"/>
        <v>Medium Value</v>
      </c>
    </row>
    <row r="438" spans="1:16" x14ac:dyDescent="0.35">
      <c r="A438" s="3" t="s">
        <v>828</v>
      </c>
      <c r="B438" s="4">
        <v>45880</v>
      </c>
      <c r="C438" s="1" t="s">
        <v>730</v>
      </c>
      <c r="D438" s="1" t="s">
        <v>731</v>
      </c>
      <c r="E438" s="1" t="s">
        <v>34</v>
      </c>
      <c r="F438" s="1" t="s">
        <v>27</v>
      </c>
      <c r="G438" s="1" t="s">
        <v>57</v>
      </c>
      <c r="H438" s="1" t="s">
        <v>58</v>
      </c>
      <c r="I438" s="1" t="s">
        <v>44</v>
      </c>
      <c r="J438" s="1">
        <v>4</v>
      </c>
      <c r="K438" s="2">
        <v>399</v>
      </c>
      <c r="L438" s="5">
        <v>1596</v>
      </c>
      <c r="M438" s="5">
        <v>405.36</v>
      </c>
      <c r="N438" s="1" t="s">
        <v>113</v>
      </c>
      <c r="O438" s="1" t="s">
        <v>90</v>
      </c>
      <c r="P438" s="1" t="str">
        <f t="shared" si="6"/>
        <v>Low Value</v>
      </c>
    </row>
    <row r="439" spans="1:16" x14ac:dyDescent="0.35">
      <c r="A439" s="3" t="s">
        <v>829</v>
      </c>
      <c r="B439" s="4">
        <v>45972</v>
      </c>
      <c r="C439" s="1" t="s">
        <v>489</v>
      </c>
      <c r="D439" s="1" t="s">
        <v>490</v>
      </c>
      <c r="E439" s="1" t="s">
        <v>41</v>
      </c>
      <c r="F439" s="1" t="s">
        <v>17</v>
      </c>
      <c r="G439" s="1" t="s">
        <v>70</v>
      </c>
      <c r="H439" s="1" t="s">
        <v>71</v>
      </c>
      <c r="I439" s="1" t="s">
        <v>44</v>
      </c>
      <c r="J439" s="1">
        <v>1</v>
      </c>
      <c r="K439" s="2">
        <v>3299</v>
      </c>
      <c r="L439" s="5">
        <v>2639.2</v>
      </c>
      <c r="M439" s="5">
        <v>603.75</v>
      </c>
      <c r="N439" s="1" t="s">
        <v>89</v>
      </c>
      <c r="O439" s="1" t="s">
        <v>22</v>
      </c>
      <c r="P439" s="1" t="str">
        <f t="shared" si="6"/>
        <v>Low Value</v>
      </c>
    </row>
    <row r="440" spans="1:16" x14ac:dyDescent="0.35">
      <c r="A440" s="3" t="s">
        <v>830</v>
      </c>
      <c r="B440" s="4">
        <v>45923</v>
      </c>
      <c r="C440" s="1" t="s">
        <v>294</v>
      </c>
      <c r="D440" s="1" t="s">
        <v>116</v>
      </c>
      <c r="E440" s="1" t="s">
        <v>236</v>
      </c>
      <c r="F440" s="1" t="s">
        <v>86</v>
      </c>
      <c r="G440" s="1" t="s">
        <v>177</v>
      </c>
      <c r="H440" s="1" t="s">
        <v>178</v>
      </c>
      <c r="I440" s="1" t="s">
        <v>20</v>
      </c>
      <c r="J440" s="1">
        <v>4</v>
      </c>
      <c r="K440" s="2">
        <v>2624</v>
      </c>
      <c r="L440" s="5">
        <v>10496</v>
      </c>
      <c r="M440" s="5">
        <v>2815.92</v>
      </c>
      <c r="N440" s="1" t="s">
        <v>59</v>
      </c>
      <c r="O440" s="1" t="s">
        <v>22</v>
      </c>
      <c r="P440" s="1" t="str">
        <f t="shared" si="6"/>
        <v>High Value</v>
      </c>
    </row>
    <row r="441" spans="1:16" x14ac:dyDescent="0.35">
      <c r="A441" s="3" t="s">
        <v>831</v>
      </c>
      <c r="B441" s="4">
        <v>45738</v>
      </c>
      <c r="C441" s="1" t="s">
        <v>730</v>
      </c>
      <c r="D441" s="1" t="s">
        <v>731</v>
      </c>
      <c r="E441" s="1" t="s">
        <v>68</v>
      </c>
      <c r="F441" s="1" t="s">
        <v>69</v>
      </c>
      <c r="G441" s="1" t="s">
        <v>262</v>
      </c>
      <c r="H441" s="1" t="s">
        <v>263</v>
      </c>
      <c r="I441" s="1" t="s">
        <v>97</v>
      </c>
      <c r="J441" s="1">
        <v>6</v>
      </c>
      <c r="K441" s="2">
        <v>164</v>
      </c>
      <c r="L441" s="5">
        <v>885.6</v>
      </c>
      <c r="M441" s="5">
        <v>185.27</v>
      </c>
      <c r="N441" s="1" t="s">
        <v>45</v>
      </c>
      <c r="O441" s="1" t="s">
        <v>22</v>
      </c>
      <c r="P441" s="1" t="str">
        <f t="shared" si="6"/>
        <v>Low Value</v>
      </c>
    </row>
    <row r="442" spans="1:16" x14ac:dyDescent="0.35">
      <c r="A442" s="3" t="s">
        <v>832</v>
      </c>
      <c r="B442" s="4">
        <v>46018</v>
      </c>
      <c r="C442" s="1" t="s">
        <v>833</v>
      </c>
      <c r="D442" s="1" t="s">
        <v>192</v>
      </c>
      <c r="E442" s="1" t="s">
        <v>34</v>
      </c>
      <c r="F442" s="1" t="s">
        <v>27</v>
      </c>
      <c r="G442" s="1" t="s">
        <v>254</v>
      </c>
      <c r="H442" s="1" t="s">
        <v>255</v>
      </c>
      <c r="I442" s="1" t="s">
        <v>30</v>
      </c>
      <c r="J442" s="1">
        <v>5</v>
      </c>
      <c r="K442" s="2">
        <v>879</v>
      </c>
      <c r="L442" s="5">
        <v>3735.75</v>
      </c>
      <c r="M442" s="5">
        <v>1200.3</v>
      </c>
      <c r="N442" s="1" t="s">
        <v>59</v>
      </c>
      <c r="O442" s="1" t="s">
        <v>22</v>
      </c>
      <c r="P442" s="1" t="str">
        <f t="shared" si="6"/>
        <v>Low Value</v>
      </c>
    </row>
    <row r="443" spans="1:16" x14ac:dyDescent="0.35">
      <c r="A443" s="3" t="s">
        <v>834</v>
      </c>
      <c r="B443" s="4">
        <v>45773</v>
      </c>
      <c r="C443" s="1" t="s">
        <v>134</v>
      </c>
      <c r="D443" s="1" t="s">
        <v>135</v>
      </c>
      <c r="E443" s="1" t="s">
        <v>236</v>
      </c>
      <c r="F443" s="1" t="s">
        <v>86</v>
      </c>
      <c r="G443" s="1" t="s">
        <v>50</v>
      </c>
      <c r="H443" s="1" t="s">
        <v>51</v>
      </c>
      <c r="I443" s="1" t="s">
        <v>52</v>
      </c>
      <c r="J443" s="1">
        <v>7</v>
      </c>
      <c r="K443" s="2">
        <v>8399</v>
      </c>
      <c r="L443" s="5">
        <v>58793</v>
      </c>
      <c r="M443" s="5">
        <v>10432.44</v>
      </c>
      <c r="N443" s="1" t="s">
        <v>113</v>
      </c>
      <c r="O443" s="1" t="s">
        <v>22</v>
      </c>
      <c r="P443" s="1" t="str">
        <f t="shared" si="6"/>
        <v>High Value</v>
      </c>
    </row>
    <row r="444" spans="1:16" x14ac:dyDescent="0.35">
      <c r="A444" s="3" t="s">
        <v>835</v>
      </c>
      <c r="B444" s="4">
        <v>45695</v>
      </c>
      <c r="C444" s="1" t="s">
        <v>557</v>
      </c>
      <c r="D444" s="1" t="s">
        <v>558</v>
      </c>
      <c r="E444" s="1" t="s">
        <v>49</v>
      </c>
      <c r="F444" s="1" t="s">
        <v>49</v>
      </c>
      <c r="G444" s="1" t="s">
        <v>42</v>
      </c>
      <c r="H444" s="1" t="s">
        <v>43</v>
      </c>
      <c r="I444" s="1" t="s">
        <v>44</v>
      </c>
      <c r="J444" s="1">
        <v>2</v>
      </c>
      <c r="K444" s="2">
        <v>944</v>
      </c>
      <c r="L444" s="5">
        <v>1793.6</v>
      </c>
      <c r="M444" s="5">
        <v>560.94000000000005</v>
      </c>
      <c r="N444" s="1" t="s">
        <v>21</v>
      </c>
      <c r="O444" s="1" t="s">
        <v>22</v>
      </c>
      <c r="P444" s="1" t="str">
        <f t="shared" si="6"/>
        <v>Low Value</v>
      </c>
    </row>
    <row r="445" spans="1:16" x14ac:dyDescent="0.35">
      <c r="A445" s="3" t="s">
        <v>836</v>
      </c>
      <c r="B445" s="4">
        <v>45851</v>
      </c>
      <c r="C445" s="1" t="s">
        <v>555</v>
      </c>
      <c r="D445" s="1" t="s">
        <v>453</v>
      </c>
      <c r="E445" s="1" t="s">
        <v>16</v>
      </c>
      <c r="F445" s="1" t="s">
        <v>17</v>
      </c>
      <c r="G445" s="1" t="s">
        <v>35</v>
      </c>
      <c r="H445" s="1" t="s">
        <v>36</v>
      </c>
      <c r="I445" s="1" t="s">
        <v>37</v>
      </c>
      <c r="J445" s="1">
        <v>6</v>
      </c>
      <c r="K445" s="2">
        <v>1299</v>
      </c>
      <c r="L445" s="5">
        <v>6235.2</v>
      </c>
      <c r="M445" s="5">
        <v>1380.21</v>
      </c>
      <c r="N445" s="1" t="s">
        <v>21</v>
      </c>
      <c r="O445" s="1" t="s">
        <v>90</v>
      </c>
      <c r="P445" s="1" t="str">
        <f t="shared" si="6"/>
        <v>Medium Value</v>
      </c>
    </row>
    <row r="446" spans="1:16" x14ac:dyDescent="0.35">
      <c r="A446" s="3" t="s">
        <v>837</v>
      </c>
      <c r="B446" s="4">
        <v>45717</v>
      </c>
      <c r="C446" s="1" t="s">
        <v>721</v>
      </c>
      <c r="D446" s="1" t="s">
        <v>722</v>
      </c>
      <c r="E446" s="1" t="s">
        <v>34</v>
      </c>
      <c r="F446" s="1" t="s">
        <v>27</v>
      </c>
      <c r="G446" s="1" t="s">
        <v>262</v>
      </c>
      <c r="H446" s="1" t="s">
        <v>263</v>
      </c>
      <c r="I446" s="1" t="s">
        <v>97</v>
      </c>
      <c r="J446" s="1">
        <v>4</v>
      </c>
      <c r="K446" s="2">
        <v>164</v>
      </c>
      <c r="L446" s="5">
        <v>524.79999999999995</v>
      </c>
      <c r="M446" s="5">
        <v>89.52</v>
      </c>
      <c r="N446" s="1" t="s">
        <v>59</v>
      </c>
      <c r="O446" s="1" t="s">
        <v>22</v>
      </c>
      <c r="P446" s="1" t="str">
        <f t="shared" si="6"/>
        <v>Low Value</v>
      </c>
    </row>
    <row r="447" spans="1:16" x14ac:dyDescent="0.35">
      <c r="A447" s="3" t="s">
        <v>838</v>
      </c>
      <c r="B447" s="4">
        <v>45922</v>
      </c>
      <c r="C447" s="1" t="s">
        <v>507</v>
      </c>
      <c r="D447" s="1" t="s">
        <v>508</v>
      </c>
      <c r="E447" s="1" t="s">
        <v>166</v>
      </c>
      <c r="F447" s="1" t="s">
        <v>27</v>
      </c>
      <c r="G447" s="1" t="s">
        <v>57</v>
      </c>
      <c r="H447" s="1" t="s">
        <v>58</v>
      </c>
      <c r="I447" s="1" t="s">
        <v>44</v>
      </c>
      <c r="J447" s="1">
        <v>4</v>
      </c>
      <c r="K447" s="2">
        <v>399</v>
      </c>
      <c r="L447" s="5">
        <v>1596</v>
      </c>
      <c r="M447" s="5">
        <v>331.59</v>
      </c>
      <c r="N447" s="1" t="s">
        <v>59</v>
      </c>
      <c r="O447" s="1" t="s">
        <v>22</v>
      </c>
      <c r="P447" s="1" t="str">
        <f t="shared" si="6"/>
        <v>Low Value</v>
      </c>
    </row>
    <row r="448" spans="1:16" x14ac:dyDescent="0.35">
      <c r="A448" s="3" t="s">
        <v>839</v>
      </c>
      <c r="B448" s="4">
        <v>45901</v>
      </c>
      <c r="C448" s="1" t="s">
        <v>357</v>
      </c>
      <c r="D448" s="1" t="s">
        <v>328</v>
      </c>
      <c r="E448" s="1" t="s">
        <v>312</v>
      </c>
      <c r="F448" s="1" t="s">
        <v>112</v>
      </c>
      <c r="G448" s="1" t="s">
        <v>161</v>
      </c>
      <c r="H448" s="1" t="s">
        <v>162</v>
      </c>
      <c r="I448" s="1" t="s">
        <v>37</v>
      </c>
      <c r="J448" s="1">
        <v>5</v>
      </c>
      <c r="K448" s="2">
        <v>2299</v>
      </c>
      <c r="L448" s="5">
        <v>9196</v>
      </c>
      <c r="M448" s="5">
        <v>2485.5300000000002</v>
      </c>
      <c r="N448" s="1" t="s">
        <v>45</v>
      </c>
      <c r="O448" s="1" t="s">
        <v>22</v>
      </c>
      <c r="P448" s="1" t="str">
        <f t="shared" si="6"/>
        <v>Medium Value</v>
      </c>
    </row>
    <row r="449" spans="1:16" x14ac:dyDescent="0.35">
      <c r="A449" s="3" t="s">
        <v>840</v>
      </c>
      <c r="B449" s="4">
        <v>45778</v>
      </c>
      <c r="C449" s="1" t="s">
        <v>527</v>
      </c>
      <c r="D449" s="1" t="s">
        <v>528</v>
      </c>
      <c r="E449" s="1" t="s">
        <v>68</v>
      </c>
      <c r="F449" s="1" t="s">
        <v>69</v>
      </c>
      <c r="G449" s="1" t="s">
        <v>161</v>
      </c>
      <c r="H449" s="1" t="s">
        <v>162</v>
      </c>
      <c r="I449" s="1" t="s">
        <v>37</v>
      </c>
      <c r="J449" s="1">
        <v>4</v>
      </c>
      <c r="K449" s="2">
        <v>2299</v>
      </c>
      <c r="L449" s="5">
        <v>9196</v>
      </c>
      <c r="M449" s="5">
        <v>2795.53</v>
      </c>
      <c r="N449" s="1" t="s">
        <v>59</v>
      </c>
      <c r="O449" s="1" t="s">
        <v>22</v>
      </c>
      <c r="P449" s="1" t="str">
        <f t="shared" si="6"/>
        <v>Medium Value</v>
      </c>
    </row>
    <row r="450" spans="1:16" x14ac:dyDescent="0.35">
      <c r="A450" s="3" t="s">
        <v>841</v>
      </c>
      <c r="B450" s="4">
        <v>45719</v>
      </c>
      <c r="C450" s="1" t="s">
        <v>629</v>
      </c>
      <c r="D450" s="1" t="s">
        <v>630</v>
      </c>
      <c r="E450" s="1" t="s">
        <v>16</v>
      </c>
      <c r="F450" s="1" t="s">
        <v>17</v>
      </c>
      <c r="G450" s="1" t="s">
        <v>131</v>
      </c>
      <c r="H450" s="1" t="s">
        <v>132</v>
      </c>
      <c r="I450" s="1" t="s">
        <v>44</v>
      </c>
      <c r="J450" s="1">
        <v>1</v>
      </c>
      <c r="K450" s="2">
        <v>576</v>
      </c>
      <c r="L450" s="5">
        <v>576</v>
      </c>
      <c r="M450" s="5">
        <v>176.58</v>
      </c>
      <c r="N450" s="1" t="s">
        <v>59</v>
      </c>
      <c r="O450" s="1" t="s">
        <v>22</v>
      </c>
      <c r="P450" s="1" t="str">
        <f t="shared" ref="P450:P513" si="7">IF(L450&gt;=10000,"High Value",IF(L450&gt;=5000,"Medium Value","Low Value"))</f>
        <v>Low Value</v>
      </c>
    </row>
    <row r="451" spans="1:16" x14ac:dyDescent="0.35">
      <c r="A451" s="3" t="s">
        <v>842</v>
      </c>
      <c r="B451" s="4">
        <v>45952</v>
      </c>
      <c r="C451" s="1" t="s">
        <v>207</v>
      </c>
      <c r="D451" s="1" t="s">
        <v>208</v>
      </c>
      <c r="E451" s="1" t="s">
        <v>16</v>
      </c>
      <c r="F451" s="1" t="s">
        <v>17</v>
      </c>
      <c r="G451" s="1" t="s">
        <v>198</v>
      </c>
      <c r="H451" s="1" t="s">
        <v>199</v>
      </c>
      <c r="I451" s="1" t="s">
        <v>37</v>
      </c>
      <c r="J451" s="1">
        <v>5</v>
      </c>
      <c r="K451" s="2">
        <v>699</v>
      </c>
      <c r="L451" s="5">
        <v>3495</v>
      </c>
      <c r="M451" s="5">
        <v>996.21</v>
      </c>
      <c r="N451" s="1" t="s">
        <v>45</v>
      </c>
      <c r="O451" s="1" t="s">
        <v>22</v>
      </c>
      <c r="P451" s="1" t="str">
        <f t="shared" si="7"/>
        <v>Low Value</v>
      </c>
    </row>
    <row r="452" spans="1:16" x14ac:dyDescent="0.35">
      <c r="A452" s="3" t="s">
        <v>843</v>
      </c>
      <c r="B452" s="4">
        <v>45902</v>
      </c>
      <c r="C452" s="1" t="s">
        <v>243</v>
      </c>
      <c r="D452" s="1" t="s">
        <v>244</v>
      </c>
      <c r="E452" s="1" t="s">
        <v>26</v>
      </c>
      <c r="F452" s="1" t="s">
        <v>27</v>
      </c>
      <c r="G452" s="1" t="s">
        <v>213</v>
      </c>
      <c r="H452" s="1" t="s">
        <v>214</v>
      </c>
      <c r="I452" s="1" t="s">
        <v>107</v>
      </c>
      <c r="J452" s="1">
        <v>6</v>
      </c>
      <c r="K452" s="2">
        <v>1899</v>
      </c>
      <c r="L452" s="5">
        <v>9115.2000000000007</v>
      </c>
      <c r="M452" s="5">
        <v>2649.78</v>
      </c>
      <c r="N452" s="1" t="s">
        <v>113</v>
      </c>
      <c r="O452" s="1" t="s">
        <v>53</v>
      </c>
      <c r="P452" s="1" t="str">
        <f t="shared" si="7"/>
        <v>Medium Value</v>
      </c>
    </row>
    <row r="453" spans="1:16" x14ac:dyDescent="0.35">
      <c r="A453" s="3" t="s">
        <v>844</v>
      </c>
      <c r="B453" s="4">
        <v>45923</v>
      </c>
      <c r="C453" s="1" t="s">
        <v>473</v>
      </c>
      <c r="D453" s="1" t="s">
        <v>474</v>
      </c>
      <c r="E453" s="1" t="s">
        <v>111</v>
      </c>
      <c r="F453" s="1" t="s">
        <v>112</v>
      </c>
      <c r="G453" s="1" t="s">
        <v>63</v>
      </c>
      <c r="H453" s="1" t="s">
        <v>64</v>
      </c>
      <c r="I453" s="1" t="s">
        <v>20</v>
      </c>
      <c r="J453" s="1">
        <v>1</v>
      </c>
      <c r="K453" s="2">
        <v>659</v>
      </c>
      <c r="L453" s="5">
        <v>659</v>
      </c>
      <c r="M453" s="5">
        <v>134.09</v>
      </c>
      <c r="N453" s="1" t="s">
        <v>89</v>
      </c>
      <c r="O453" s="1" t="s">
        <v>22</v>
      </c>
      <c r="P453" s="1" t="str">
        <f t="shared" si="7"/>
        <v>Low Value</v>
      </c>
    </row>
    <row r="454" spans="1:16" x14ac:dyDescent="0.35">
      <c r="A454" s="3" t="s">
        <v>845</v>
      </c>
      <c r="B454" s="4">
        <v>45790</v>
      </c>
      <c r="C454" s="1" t="s">
        <v>846</v>
      </c>
      <c r="D454" s="1" t="s">
        <v>135</v>
      </c>
      <c r="E454" s="1" t="s">
        <v>80</v>
      </c>
      <c r="F454" s="1" t="s">
        <v>81</v>
      </c>
      <c r="G454" s="1" t="s">
        <v>57</v>
      </c>
      <c r="H454" s="1" t="s">
        <v>58</v>
      </c>
      <c r="I454" s="1" t="s">
        <v>44</v>
      </c>
      <c r="J454" s="1">
        <v>4</v>
      </c>
      <c r="K454" s="2">
        <v>399</v>
      </c>
      <c r="L454" s="5">
        <v>1436.4</v>
      </c>
      <c r="M454" s="5">
        <v>475.27</v>
      </c>
      <c r="N454" s="1" t="s">
        <v>59</v>
      </c>
      <c r="O454" s="1" t="s">
        <v>22</v>
      </c>
      <c r="P454" s="1" t="str">
        <f t="shared" si="7"/>
        <v>Low Value</v>
      </c>
    </row>
    <row r="455" spans="1:16" x14ac:dyDescent="0.35">
      <c r="A455" s="3" t="s">
        <v>847</v>
      </c>
      <c r="B455" s="4">
        <v>45875</v>
      </c>
      <c r="C455" s="1" t="s">
        <v>596</v>
      </c>
      <c r="D455" s="1" t="s">
        <v>597</v>
      </c>
      <c r="E455" s="1" t="s">
        <v>75</v>
      </c>
      <c r="F455" s="1" t="s">
        <v>76</v>
      </c>
      <c r="G455" s="1" t="s">
        <v>95</v>
      </c>
      <c r="H455" s="1" t="s">
        <v>96</v>
      </c>
      <c r="I455" s="1" t="s">
        <v>97</v>
      </c>
      <c r="J455" s="1">
        <v>6</v>
      </c>
      <c r="K455" s="2">
        <v>249</v>
      </c>
      <c r="L455" s="5">
        <v>1419.3</v>
      </c>
      <c r="M455" s="5">
        <v>311.05</v>
      </c>
      <c r="N455" s="1" t="s">
        <v>21</v>
      </c>
      <c r="O455" s="1" t="s">
        <v>22</v>
      </c>
      <c r="P455" s="1" t="str">
        <f t="shared" si="7"/>
        <v>Low Value</v>
      </c>
    </row>
    <row r="456" spans="1:16" x14ac:dyDescent="0.35">
      <c r="A456" s="3" t="s">
        <v>848</v>
      </c>
      <c r="B456" s="4">
        <v>46009</v>
      </c>
      <c r="C456" s="1" t="s">
        <v>246</v>
      </c>
      <c r="D456" s="1" t="s">
        <v>247</v>
      </c>
      <c r="E456" s="1" t="s">
        <v>94</v>
      </c>
      <c r="F456" s="1" t="s">
        <v>27</v>
      </c>
      <c r="G456" s="1" t="s">
        <v>57</v>
      </c>
      <c r="H456" s="1" t="s">
        <v>58</v>
      </c>
      <c r="I456" s="1" t="s">
        <v>44</v>
      </c>
      <c r="J456" s="1">
        <v>4</v>
      </c>
      <c r="K456" s="2">
        <v>419</v>
      </c>
      <c r="L456" s="5">
        <v>1508.4</v>
      </c>
      <c r="M456" s="5">
        <v>465.17</v>
      </c>
      <c r="N456" s="1" t="s">
        <v>45</v>
      </c>
      <c r="O456" s="1" t="s">
        <v>22</v>
      </c>
      <c r="P456" s="1" t="str">
        <f t="shared" si="7"/>
        <v>Low Value</v>
      </c>
    </row>
    <row r="457" spans="1:16" x14ac:dyDescent="0.35">
      <c r="A457" s="3" t="s">
        <v>849</v>
      </c>
      <c r="B457" s="4">
        <v>45734</v>
      </c>
      <c r="C457" s="1" t="s">
        <v>210</v>
      </c>
      <c r="D457" s="1" t="s">
        <v>211</v>
      </c>
      <c r="E457" s="1" t="s">
        <v>166</v>
      </c>
      <c r="F457" s="1" t="s">
        <v>27</v>
      </c>
      <c r="G457" s="1" t="s">
        <v>198</v>
      </c>
      <c r="H457" s="1" t="s">
        <v>199</v>
      </c>
      <c r="I457" s="1" t="s">
        <v>37</v>
      </c>
      <c r="J457" s="1">
        <v>7</v>
      </c>
      <c r="K457" s="2">
        <v>699</v>
      </c>
      <c r="L457" s="5">
        <v>4893</v>
      </c>
      <c r="M457" s="5">
        <v>1658.84</v>
      </c>
      <c r="N457" s="1" t="s">
        <v>21</v>
      </c>
      <c r="O457" s="1" t="s">
        <v>22</v>
      </c>
      <c r="P457" s="1" t="str">
        <f t="shared" si="7"/>
        <v>Low Value</v>
      </c>
    </row>
    <row r="458" spans="1:16" x14ac:dyDescent="0.35">
      <c r="A458" s="3" t="s">
        <v>850</v>
      </c>
      <c r="B458" s="4">
        <v>45907</v>
      </c>
      <c r="C458" s="1" t="s">
        <v>654</v>
      </c>
      <c r="D458" s="1" t="s">
        <v>655</v>
      </c>
      <c r="E458" s="1" t="s">
        <v>68</v>
      </c>
      <c r="F458" s="1" t="s">
        <v>69</v>
      </c>
      <c r="G458" s="1" t="s">
        <v>254</v>
      </c>
      <c r="H458" s="1" t="s">
        <v>255</v>
      </c>
      <c r="I458" s="1" t="s">
        <v>30</v>
      </c>
      <c r="J458" s="1">
        <v>1</v>
      </c>
      <c r="K458" s="2">
        <v>799</v>
      </c>
      <c r="L458" s="5">
        <v>799</v>
      </c>
      <c r="M458" s="5">
        <v>217.26</v>
      </c>
      <c r="N458" s="1" t="s">
        <v>89</v>
      </c>
      <c r="O458" s="1" t="s">
        <v>22</v>
      </c>
      <c r="P458" s="1" t="str">
        <f t="shared" si="7"/>
        <v>Low Value</v>
      </c>
    </row>
    <row r="459" spans="1:16" x14ac:dyDescent="0.35">
      <c r="A459" s="3" t="s">
        <v>851</v>
      </c>
      <c r="B459" s="4">
        <v>45901</v>
      </c>
      <c r="C459" s="1" t="s">
        <v>727</v>
      </c>
      <c r="D459" s="1" t="s">
        <v>728</v>
      </c>
      <c r="E459" s="1" t="s">
        <v>94</v>
      </c>
      <c r="F459" s="1" t="s">
        <v>27</v>
      </c>
      <c r="G459" s="1" t="s">
        <v>50</v>
      </c>
      <c r="H459" s="1" t="s">
        <v>51</v>
      </c>
      <c r="I459" s="1" t="s">
        <v>52</v>
      </c>
      <c r="J459" s="1">
        <v>6</v>
      </c>
      <c r="K459" s="2">
        <v>7999</v>
      </c>
      <c r="L459" s="5">
        <v>45594.3</v>
      </c>
      <c r="M459" s="5">
        <v>9085.4599999999991</v>
      </c>
      <c r="N459" s="1" t="s">
        <v>21</v>
      </c>
      <c r="O459" s="1" t="s">
        <v>90</v>
      </c>
      <c r="P459" s="1" t="str">
        <f t="shared" si="7"/>
        <v>High Value</v>
      </c>
    </row>
    <row r="460" spans="1:16" x14ac:dyDescent="0.35">
      <c r="A460" s="3" t="s">
        <v>852</v>
      </c>
      <c r="B460" s="4">
        <v>45834</v>
      </c>
      <c r="C460" s="1" t="s">
        <v>853</v>
      </c>
      <c r="D460" s="1" t="s">
        <v>854</v>
      </c>
      <c r="E460" s="1" t="s">
        <v>75</v>
      </c>
      <c r="F460" s="1" t="s">
        <v>76</v>
      </c>
      <c r="G460" s="1" t="s">
        <v>120</v>
      </c>
      <c r="H460" s="1" t="s">
        <v>121</v>
      </c>
      <c r="I460" s="1" t="s">
        <v>20</v>
      </c>
      <c r="J460" s="1">
        <v>6</v>
      </c>
      <c r="K460" s="2">
        <v>1649</v>
      </c>
      <c r="L460" s="5">
        <v>8409.9</v>
      </c>
      <c r="M460" s="5">
        <v>1377.3</v>
      </c>
      <c r="N460" s="1" t="s">
        <v>21</v>
      </c>
      <c r="O460" s="1" t="s">
        <v>22</v>
      </c>
      <c r="P460" s="1" t="str">
        <f t="shared" si="7"/>
        <v>Medium Value</v>
      </c>
    </row>
    <row r="461" spans="1:16" x14ac:dyDescent="0.35">
      <c r="A461" s="3" t="s">
        <v>855</v>
      </c>
      <c r="B461" s="4">
        <v>45747</v>
      </c>
      <c r="C461" s="1" t="s">
        <v>640</v>
      </c>
      <c r="D461" s="1" t="s">
        <v>641</v>
      </c>
      <c r="E461" s="1" t="s">
        <v>312</v>
      </c>
      <c r="F461" s="1" t="s">
        <v>112</v>
      </c>
      <c r="G461" s="1" t="s">
        <v>42</v>
      </c>
      <c r="H461" s="1" t="s">
        <v>43</v>
      </c>
      <c r="I461" s="1" t="s">
        <v>44</v>
      </c>
      <c r="J461" s="1">
        <v>8</v>
      </c>
      <c r="K461" s="2">
        <v>989</v>
      </c>
      <c r="L461" s="5">
        <v>7120.8</v>
      </c>
      <c r="M461" s="5">
        <v>2248.17</v>
      </c>
      <c r="N461" s="1" t="s">
        <v>113</v>
      </c>
      <c r="O461" s="1" t="s">
        <v>22</v>
      </c>
      <c r="P461" s="1" t="str">
        <f t="shared" si="7"/>
        <v>Medium Value</v>
      </c>
    </row>
    <row r="462" spans="1:16" x14ac:dyDescent="0.35">
      <c r="A462" s="3" t="s">
        <v>856</v>
      </c>
      <c r="B462" s="4">
        <v>45981</v>
      </c>
      <c r="C462" s="1" t="s">
        <v>857</v>
      </c>
      <c r="D462" s="1" t="s">
        <v>858</v>
      </c>
      <c r="E462" s="1" t="s">
        <v>101</v>
      </c>
      <c r="F462" s="1" t="s">
        <v>86</v>
      </c>
      <c r="G462" s="1" t="s">
        <v>42</v>
      </c>
      <c r="H462" s="1" t="s">
        <v>43</v>
      </c>
      <c r="I462" s="1" t="s">
        <v>44</v>
      </c>
      <c r="J462" s="1">
        <v>7</v>
      </c>
      <c r="K462" s="2">
        <v>989</v>
      </c>
      <c r="L462" s="5">
        <v>5884.55</v>
      </c>
      <c r="M462" s="5">
        <v>1446.19</v>
      </c>
      <c r="N462" s="1" t="s">
        <v>89</v>
      </c>
      <c r="O462" s="1" t="s">
        <v>22</v>
      </c>
      <c r="P462" s="1" t="str">
        <f t="shared" si="7"/>
        <v>Medium Value</v>
      </c>
    </row>
    <row r="463" spans="1:16" x14ac:dyDescent="0.35">
      <c r="A463" s="3" t="s">
        <v>859</v>
      </c>
      <c r="B463" s="4">
        <v>45774</v>
      </c>
      <c r="C463" s="1" t="s">
        <v>357</v>
      </c>
      <c r="D463" s="1" t="s">
        <v>328</v>
      </c>
      <c r="E463" s="1" t="s">
        <v>111</v>
      </c>
      <c r="F463" s="1" t="s">
        <v>112</v>
      </c>
      <c r="G463" s="1" t="s">
        <v>70</v>
      </c>
      <c r="H463" s="1" t="s">
        <v>71</v>
      </c>
      <c r="I463" s="1" t="s">
        <v>44</v>
      </c>
      <c r="J463" s="1">
        <v>5</v>
      </c>
      <c r="K463" s="2">
        <v>3464</v>
      </c>
      <c r="L463" s="5">
        <v>13856</v>
      </c>
      <c r="M463" s="5">
        <v>2868.19</v>
      </c>
      <c r="N463" s="1" t="s">
        <v>113</v>
      </c>
      <c r="O463" s="1" t="s">
        <v>136</v>
      </c>
      <c r="P463" s="1" t="str">
        <f t="shared" si="7"/>
        <v>High Value</v>
      </c>
    </row>
    <row r="464" spans="1:16" x14ac:dyDescent="0.35">
      <c r="A464" s="3" t="s">
        <v>860</v>
      </c>
      <c r="B464" s="4">
        <v>45958</v>
      </c>
      <c r="C464" s="1" t="s">
        <v>861</v>
      </c>
      <c r="D464" s="1" t="s">
        <v>862</v>
      </c>
      <c r="E464" s="1" t="s">
        <v>172</v>
      </c>
      <c r="F464" s="1" t="s">
        <v>173</v>
      </c>
      <c r="G464" s="1" t="s">
        <v>87</v>
      </c>
      <c r="H464" s="1" t="s">
        <v>88</v>
      </c>
      <c r="I464" s="1" t="s">
        <v>52</v>
      </c>
      <c r="J464" s="1">
        <v>3</v>
      </c>
      <c r="K464" s="2">
        <v>6499</v>
      </c>
      <c r="L464" s="5">
        <v>19497</v>
      </c>
      <c r="M464" s="5">
        <v>2875.98</v>
      </c>
      <c r="N464" s="1" t="s">
        <v>45</v>
      </c>
      <c r="O464" s="1" t="s">
        <v>22</v>
      </c>
      <c r="P464" s="1" t="str">
        <f t="shared" si="7"/>
        <v>High Value</v>
      </c>
    </row>
    <row r="465" spans="1:16" x14ac:dyDescent="0.35">
      <c r="A465" s="3" t="s">
        <v>863</v>
      </c>
      <c r="B465" s="4">
        <v>46016</v>
      </c>
      <c r="C465" s="1" t="s">
        <v>629</v>
      </c>
      <c r="D465" s="1" t="s">
        <v>630</v>
      </c>
      <c r="E465" s="1" t="s">
        <v>236</v>
      </c>
      <c r="F465" s="1" t="s">
        <v>86</v>
      </c>
      <c r="G465" s="1" t="s">
        <v>198</v>
      </c>
      <c r="H465" s="1" t="s">
        <v>199</v>
      </c>
      <c r="I465" s="1" t="s">
        <v>37</v>
      </c>
      <c r="J465" s="1">
        <v>7</v>
      </c>
      <c r="K465" s="2">
        <v>629</v>
      </c>
      <c r="L465" s="5">
        <v>4403</v>
      </c>
      <c r="M465" s="5">
        <v>590.15</v>
      </c>
      <c r="N465" s="1" t="s">
        <v>113</v>
      </c>
      <c r="O465" s="1" t="s">
        <v>22</v>
      </c>
      <c r="P465" s="1" t="str">
        <f t="shared" si="7"/>
        <v>Low Value</v>
      </c>
    </row>
    <row r="466" spans="1:16" x14ac:dyDescent="0.35">
      <c r="A466" s="3" t="s">
        <v>864</v>
      </c>
      <c r="B466" s="4">
        <v>45861</v>
      </c>
      <c r="C466" s="1" t="s">
        <v>273</v>
      </c>
      <c r="D466" s="1" t="s">
        <v>274</v>
      </c>
      <c r="E466" s="1" t="s">
        <v>34</v>
      </c>
      <c r="F466" s="1" t="s">
        <v>27</v>
      </c>
      <c r="G466" s="1" t="s">
        <v>120</v>
      </c>
      <c r="H466" s="1" t="s">
        <v>121</v>
      </c>
      <c r="I466" s="1" t="s">
        <v>20</v>
      </c>
      <c r="J466" s="1">
        <v>5</v>
      </c>
      <c r="K466" s="2">
        <v>1574</v>
      </c>
      <c r="L466" s="5">
        <v>7870</v>
      </c>
      <c r="M466" s="5">
        <v>1090.3800000000001</v>
      </c>
      <c r="N466" s="1" t="s">
        <v>113</v>
      </c>
      <c r="O466" s="1" t="s">
        <v>22</v>
      </c>
      <c r="P466" s="1" t="str">
        <f t="shared" si="7"/>
        <v>Medium Value</v>
      </c>
    </row>
    <row r="467" spans="1:16" x14ac:dyDescent="0.35">
      <c r="A467" s="3" t="s">
        <v>865</v>
      </c>
      <c r="B467" s="4">
        <v>45803</v>
      </c>
      <c r="C467" s="1" t="s">
        <v>232</v>
      </c>
      <c r="D467" s="1" t="s">
        <v>221</v>
      </c>
      <c r="E467" s="1" t="s">
        <v>85</v>
      </c>
      <c r="F467" s="1" t="s">
        <v>86</v>
      </c>
      <c r="G467" s="1" t="s">
        <v>18</v>
      </c>
      <c r="H467" s="1" t="s">
        <v>19</v>
      </c>
      <c r="I467" s="1" t="s">
        <v>20</v>
      </c>
      <c r="J467" s="1">
        <v>3</v>
      </c>
      <c r="K467" s="2">
        <v>3599</v>
      </c>
      <c r="L467" s="5">
        <v>10797</v>
      </c>
      <c r="M467" s="5">
        <v>2871.79</v>
      </c>
      <c r="N467" s="1" t="s">
        <v>59</v>
      </c>
      <c r="O467" s="1" t="s">
        <v>90</v>
      </c>
      <c r="P467" s="1" t="str">
        <f t="shared" si="7"/>
        <v>High Value</v>
      </c>
    </row>
    <row r="468" spans="1:16" x14ac:dyDescent="0.35">
      <c r="A468" s="3" t="s">
        <v>866</v>
      </c>
      <c r="B468" s="4">
        <v>45934</v>
      </c>
      <c r="C468" s="1" t="s">
        <v>867</v>
      </c>
      <c r="D468" s="1" t="s">
        <v>868</v>
      </c>
      <c r="E468" s="1" t="s">
        <v>80</v>
      </c>
      <c r="F468" s="1" t="s">
        <v>81</v>
      </c>
      <c r="G468" s="1" t="s">
        <v>50</v>
      </c>
      <c r="H468" s="1" t="s">
        <v>51</v>
      </c>
      <c r="I468" s="1" t="s">
        <v>52</v>
      </c>
      <c r="J468" s="1">
        <v>3</v>
      </c>
      <c r="K468" s="2">
        <v>8799</v>
      </c>
      <c r="L468" s="5">
        <v>22437.45</v>
      </c>
      <c r="M468" s="5">
        <v>3566.39</v>
      </c>
      <c r="N468" s="1" t="s">
        <v>21</v>
      </c>
      <c r="O468" s="1" t="s">
        <v>22</v>
      </c>
      <c r="P468" s="1" t="str">
        <f t="shared" si="7"/>
        <v>High Value</v>
      </c>
    </row>
    <row r="469" spans="1:16" x14ac:dyDescent="0.35">
      <c r="A469" s="3" t="s">
        <v>869</v>
      </c>
      <c r="B469" s="4">
        <v>45983</v>
      </c>
      <c r="C469" s="1" t="s">
        <v>555</v>
      </c>
      <c r="D469" s="1" t="s">
        <v>453</v>
      </c>
      <c r="E469" s="1" t="s">
        <v>75</v>
      </c>
      <c r="F469" s="1" t="s">
        <v>76</v>
      </c>
      <c r="G469" s="1" t="s">
        <v>213</v>
      </c>
      <c r="H469" s="1" t="s">
        <v>214</v>
      </c>
      <c r="I469" s="1" t="s">
        <v>107</v>
      </c>
      <c r="J469" s="1">
        <v>5</v>
      </c>
      <c r="K469" s="2">
        <v>1899</v>
      </c>
      <c r="L469" s="5">
        <v>8545.5</v>
      </c>
      <c r="M469" s="5">
        <v>2040.04</v>
      </c>
      <c r="N469" s="1" t="s">
        <v>89</v>
      </c>
      <c r="O469" s="1" t="s">
        <v>22</v>
      </c>
      <c r="P469" s="1" t="str">
        <f t="shared" si="7"/>
        <v>Medium Value</v>
      </c>
    </row>
    <row r="470" spans="1:16" x14ac:dyDescent="0.35">
      <c r="A470" s="3" t="s">
        <v>870</v>
      </c>
      <c r="B470" s="4">
        <v>45869</v>
      </c>
      <c r="C470" s="1" t="s">
        <v>721</v>
      </c>
      <c r="D470" s="1" t="s">
        <v>722</v>
      </c>
      <c r="E470" s="1" t="s">
        <v>85</v>
      </c>
      <c r="F470" s="1" t="s">
        <v>86</v>
      </c>
      <c r="G470" s="1" t="s">
        <v>70</v>
      </c>
      <c r="H470" s="1" t="s">
        <v>71</v>
      </c>
      <c r="I470" s="1" t="s">
        <v>44</v>
      </c>
      <c r="J470" s="1">
        <v>1</v>
      </c>
      <c r="K470" s="2">
        <v>2969</v>
      </c>
      <c r="L470" s="5">
        <v>2523.65</v>
      </c>
      <c r="M470" s="5">
        <v>755.54</v>
      </c>
      <c r="N470" s="1" t="s">
        <v>45</v>
      </c>
      <c r="O470" s="1" t="s">
        <v>22</v>
      </c>
      <c r="P470" s="1" t="str">
        <f t="shared" si="7"/>
        <v>Low Value</v>
      </c>
    </row>
    <row r="471" spans="1:16" x14ac:dyDescent="0.35">
      <c r="A471" s="3" t="s">
        <v>871</v>
      </c>
      <c r="B471" s="4">
        <v>45931</v>
      </c>
      <c r="C471" s="1" t="s">
        <v>501</v>
      </c>
      <c r="D471" s="1" t="s">
        <v>502</v>
      </c>
      <c r="E471" s="1" t="s">
        <v>16</v>
      </c>
      <c r="F471" s="1" t="s">
        <v>17</v>
      </c>
      <c r="G471" s="1" t="s">
        <v>105</v>
      </c>
      <c r="H471" s="1" t="s">
        <v>106</v>
      </c>
      <c r="I471" s="1" t="s">
        <v>107</v>
      </c>
      <c r="J471" s="1">
        <v>5</v>
      </c>
      <c r="K471" s="2">
        <v>899</v>
      </c>
      <c r="L471" s="5">
        <v>4045.5</v>
      </c>
      <c r="M471" s="5">
        <v>1195.6600000000001</v>
      </c>
      <c r="N471" s="1" t="s">
        <v>21</v>
      </c>
      <c r="O471" s="1" t="s">
        <v>22</v>
      </c>
      <c r="P471" s="1" t="str">
        <f t="shared" si="7"/>
        <v>Low Value</v>
      </c>
    </row>
    <row r="472" spans="1:16" x14ac:dyDescent="0.35">
      <c r="A472" s="3" t="s">
        <v>872</v>
      </c>
      <c r="B472" s="4">
        <v>45938</v>
      </c>
      <c r="C472" s="1" t="s">
        <v>379</v>
      </c>
      <c r="D472" s="1" t="s">
        <v>380</v>
      </c>
      <c r="E472" s="1" t="s">
        <v>236</v>
      </c>
      <c r="F472" s="1" t="s">
        <v>86</v>
      </c>
      <c r="G472" s="1" t="s">
        <v>87</v>
      </c>
      <c r="H472" s="1" t="s">
        <v>88</v>
      </c>
      <c r="I472" s="1" t="s">
        <v>52</v>
      </c>
      <c r="J472" s="1">
        <v>7</v>
      </c>
      <c r="K472" s="2">
        <v>6499</v>
      </c>
      <c r="L472" s="5">
        <v>45493</v>
      </c>
      <c r="M472" s="5">
        <v>7093.24</v>
      </c>
      <c r="N472" s="1" t="s">
        <v>113</v>
      </c>
      <c r="O472" s="1" t="s">
        <v>136</v>
      </c>
      <c r="P472" s="1" t="str">
        <f t="shared" si="7"/>
        <v>High Value</v>
      </c>
    </row>
    <row r="473" spans="1:16" x14ac:dyDescent="0.35">
      <c r="A473" s="3" t="s">
        <v>873</v>
      </c>
      <c r="B473" s="4">
        <v>45792</v>
      </c>
      <c r="C473" s="1" t="s">
        <v>629</v>
      </c>
      <c r="D473" s="1" t="s">
        <v>630</v>
      </c>
      <c r="E473" s="1" t="s">
        <v>75</v>
      </c>
      <c r="F473" s="1" t="s">
        <v>76</v>
      </c>
      <c r="G473" s="1" t="s">
        <v>35</v>
      </c>
      <c r="H473" s="1" t="s">
        <v>36</v>
      </c>
      <c r="I473" s="1" t="s">
        <v>37</v>
      </c>
      <c r="J473" s="1">
        <v>5</v>
      </c>
      <c r="K473" s="2">
        <v>1299</v>
      </c>
      <c r="L473" s="5">
        <v>5196</v>
      </c>
      <c r="M473" s="5">
        <v>1472.77</v>
      </c>
      <c r="N473" s="1" t="s">
        <v>59</v>
      </c>
      <c r="O473" s="1" t="s">
        <v>22</v>
      </c>
      <c r="P473" s="1" t="str">
        <f t="shared" si="7"/>
        <v>Medium Value</v>
      </c>
    </row>
    <row r="474" spans="1:16" x14ac:dyDescent="0.35">
      <c r="A474" s="3" t="s">
        <v>874</v>
      </c>
      <c r="B474" s="4">
        <v>45751</v>
      </c>
      <c r="C474" s="1" t="s">
        <v>802</v>
      </c>
      <c r="D474" s="1" t="s">
        <v>195</v>
      </c>
      <c r="E474" s="1" t="s">
        <v>49</v>
      </c>
      <c r="F474" s="1" t="s">
        <v>49</v>
      </c>
      <c r="G474" s="1" t="s">
        <v>120</v>
      </c>
      <c r="H474" s="1" t="s">
        <v>121</v>
      </c>
      <c r="I474" s="1" t="s">
        <v>20</v>
      </c>
      <c r="J474" s="1">
        <v>8</v>
      </c>
      <c r="K474" s="2">
        <v>1574</v>
      </c>
      <c r="L474" s="5">
        <v>11332.8</v>
      </c>
      <c r="M474" s="5">
        <v>2038.43</v>
      </c>
      <c r="N474" s="1" t="s">
        <v>21</v>
      </c>
      <c r="O474" s="1" t="s">
        <v>22</v>
      </c>
      <c r="P474" s="1" t="str">
        <f t="shared" si="7"/>
        <v>High Value</v>
      </c>
    </row>
    <row r="475" spans="1:16" x14ac:dyDescent="0.35">
      <c r="A475" s="3" t="s">
        <v>875</v>
      </c>
      <c r="B475" s="4">
        <v>45667</v>
      </c>
      <c r="C475" s="1" t="s">
        <v>268</v>
      </c>
      <c r="D475" s="1" t="s">
        <v>269</v>
      </c>
      <c r="E475" s="1" t="s">
        <v>26</v>
      </c>
      <c r="F475" s="1" t="s">
        <v>27</v>
      </c>
      <c r="G475" s="1" t="s">
        <v>254</v>
      </c>
      <c r="H475" s="1" t="s">
        <v>255</v>
      </c>
      <c r="I475" s="1" t="s">
        <v>30</v>
      </c>
      <c r="J475" s="1">
        <v>1</v>
      </c>
      <c r="K475" s="2">
        <v>799</v>
      </c>
      <c r="L475" s="5">
        <v>799</v>
      </c>
      <c r="M475" s="5">
        <v>145.47</v>
      </c>
      <c r="N475" s="1" t="s">
        <v>45</v>
      </c>
      <c r="O475" s="1" t="s">
        <v>22</v>
      </c>
      <c r="P475" s="1" t="str">
        <f t="shared" si="7"/>
        <v>Low Value</v>
      </c>
    </row>
    <row r="476" spans="1:16" x14ac:dyDescent="0.35">
      <c r="A476" s="3" t="s">
        <v>876</v>
      </c>
      <c r="B476" s="4">
        <v>45662</v>
      </c>
      <c r="C476" s="1" t="s">
        <v>392</v>
      </c>
      <c r="D476" s="1" t="s">
        <v>393</v>
      </c>
      <c r="E476" s="1" t="s">
        <v>34</v>
      </c>
      <c r="F476" s="1" t="s">
        <v>27</v>
      </c>
      <c r="G476" s="1" t="s">
        <v>18</v>
      </c>
      <c r="H476" s="1" t="s">
        <v>19</v>
      </c>
      <c r="I476" s="1" t="s">
        <v>20</v>
      </c>
      <c r="J476" s="1">
        <v>1</v>
      </c>
      <c r="K476" s="2">
        <v>3999</v>
      </c>
      <c r="L476" s="5">
        <v>3999</v>
      </c>
      <c r="M476" s="5">
        <v>780.69</v>
      </c>
      <c r="N476" s="1" t="s">
        <v>59</v>
      </c>
      <c r="O476" s="1" t="s">
        <v>136</v>
      </c>
      <c r="P476" s="1" t="str">
        <f t="shared" si="7"/>
        <v>Low Value</v>
      </c>
    </row>
    <row r="477" spans="1:16" x14ac:dyDescent="0.35">
      <c r="A477" s="3" t="s">
        <v>877</v>
      </c>
      <c r="B477" s="4">
        <v>45848</v>
      </c>
      <c r="C477" s="1" t="s">
        <v>175</v>
      </c>
      <c r="D477" s="1" t="s">
        <v>176</v>
      </c>
      <c r="E477" s="1" t="s">
        <v>26</v>
      </c>
      <c r="F477" s="1" t="s">
        <v>27</v>
      </c>
      <c r="G477" s="1" t="s">
        <v>42</v>
      </c>
      <c r="H477" s="1" t="s">
        <v>43</v>
      </c>
      <c r="I477" s="1" t="s">
        <v>44</v>
      </c>
      <c r="J477" s="1">
        <v>2</v>
      </c>
      <c r="K477" s="2">
        <v>899</v>
      </c>
      <c r="L477" s="5">
        <v>1798</v>
      </c>
      <c r="M477" s="5">
        <v>321.18</v>
      </c>
      <c r="N477" s="1" t="s">
        <v>113</v>
      </c>
      <c r="O477" s="1" t="s">
        <v>22</v>
      </c>
      <c r="P477" s="1" t="str">
        <f t="shared" si="7"/>
        <v>Low Value</v>
      </c>
    </row>
    <row r="478" spans="1:16" x14ac:dyDescent="0.35">
      <c r="A478" s="3" t="s">
        <v>878</v>
      </c>
      <c r="B478" s="4">
        <v>45750</v>
      </c>
      <c r="C478" s="1" t="s">
        <v>879</v>
      </c>
      <c r="D478" s="1" t="s">
        <v>363</v>
      </c>
      <c r="E478" s="1" t="s">
        <v>68</v>
      </c>
      <c r="F478" s="1" t="s">
        <v>69</v>
      </c>
      <c r="G478" s="1" t="s">
        <v>262</v>
      </c>
      <c r="H478" s="1" t="s">
        <v>263</v>
      </c>
      <c r="I478" s="1" t="s">
        <v>97</v>
      </c>
      <c r="J478" s="1">
        <v>1</v>
      </c>
      <c r="K478" s="2">
        <v>134</v>
      </c>
      <c r="L478" s="5">
        <v>107.2</v>
      </c>
      <c r="M478" s="5">
        <v>18.739999999999998</v>
      </c>
      <c r="N478" s="1" t="s">
        <v>113</v>
      </c>
      <c r="O478" s="1" t="s">
        <v>22</v>
      </c>
      <c r="P478" s="1" t="str">
        <f t="shared" si="7"/>
        <v>Low Value</v>
      </c>
    </row>
    <row r="479" spans="1:16" x14ac:dyDescent="0.35">
      <c r="A479" s="3" t="s">
        <v>880</v>
      </c>
      <c r="B479" s="4">
        <v>45759</v>
      </c>
      <c r="C479" s="1" t="s">
        <v>473</v>
      </c>
      <c r="D479" s="1" t="s">
        <v>474</v>
      </c>
      <c r="E479" s="1" t="s">
        <v>94</v>
      </c>
      <c r="F479" s="1" t="s">
        <v>27</v>
      </c>
      <c r="G479" s="1" t="s">
        <v>213</v>
      </c>
      <c r="H479" s="1" t="s">
        <v>214</v>
      </c>
      <c r="I479" s="1" t="s">
        <v>107</v>
      </c>
      <c r="J479" s="1">
        <v>4</v>
      </c>
      <c r="K479" s="2">
        <v>1899</v>
      </c>
      <c r="L479" s="5">
        <v>6836.4</v>
      </c>
      <c r="M479" s="5">
        <v>1845.26</v>
      </c>
      <c r="N479" s="1" t="s">
        <v>59</v>
      </c>
      <c r="O479" s="1" t="s">
        <v>90</v>
      </c>
      <c r="P479" s="1" t="str">
        <f t="shared" si="7"/>
        <v>Medium Value</v>
      </c>
    </row>
    <row r="480" spans="1:16" x14ac:dyDescent="0.35">
      <c r="A480" s="3" t="s">
        <v>881</v>
      </c>
      <c r="B480" s="4">
        <v>45980</v>
      </c>
      <c r="C480" s="1" t="s">
        <v>185</v>
      </c>
      <c r="D480" s="1" t="s">
        <v>186</v>
      </c>
      <c r="E480" s="1" t="s">
        <v>80</v>
      </c>
      <c r="F480" s="1" t="s">
        <v>81</v>
      </c>
      <c r="G480" s="1" t="s">
        <v>213</v>
      </c>
      <c r="H480" s="1" t="s">
        <v>214</v>
      </c>
      <c r="I480" s="1" t="s">
        <v>107</v>
      </c>
      <c r="J480" s="1">
        <v>2</v>
      </c>
      <c r="K480" s="2">
        <v>1899</v>
      </c>
      <c r="L480" s="5">
        <v>3418.2</v>
      </c>
      <c r="M480" s="5">
        <v>890.35</v>
      </c>
      <c r="N480" s="1" t="s">
        <v>45</v>
      </c>
      <c r="O480" s="1" t="s">
        <v>22</v>
      </c>
      <c r="P480" s="1" t="str">
        <f t="shared" si="7"/>
        <v>Low Value</v>
      </c>
    </row>
    <row r="481" spans="1:16" x14ac:dyDescent="0.35">
      <c r="A481" s="3" t="s">
        <v>882</v>
      </c>
      <c r="B481" s="4">
        <v>45999</v>
      </c>
      <c r="C481" s="1" t="s">
        <v>188</v>
      </c>
      <c r="D481" s="1" t="s">
        <v>189</v>
      </c>
      <c r="E481" s="1" t="s">
        <v>94</v>
      </c>
      <c r="F481" s="1" t="s">
        <v>27</v>
      </c>
      <c r="G481" s="1" t="s">
        <v>35</v>
      </c>
      <c r="H481" s="1" t="s">
        <v>36</v>
      </c>
      <c r="I481" s="1" t="s">
        <v>37</v>
      </c>
      <c r="J481" s="1">
        <v>7</v>
      </c>
      <c r="K481" s="2">
        <v>1299</v>
      </c>
      <c r="L481" s="5">
        <v>9093</v>
      </c>
      <c r="M481" s="5">
        <v>1425.96</v>
      </c>
      <c r="N481" s="1" t="s">
        <v>59</v>
      </c>
      <c r="O481" s="1" t="s">
        <v>22</v>
      </c>
      <c r="P481" s="1" t="str">
        <f t="shared" si="7"/>
        <v>Medium Value</v>
      </c>
    </row>
    <row r="482" spans="1:16" x14ac:dyDescent="0.35">
      <c r="A482" s="3" t="s">
        <v>883</v>
      </c>
      <c r="B482" s="4">
        <v>45782</v>
      </c>
      <c r="C482" s="1" t="s">
        <v>501</v>
      </c>
      <c r="D482" s="1" t="s">
        <v>502</v>
      </c>
      <c r="E482" s="1" t="s">
        <v>26</v>
      </c>
      <c r="F482" s="1" t="s">
        <v>27</v>
      </c>
      <c r="G482" s="1" t="s">
        <v>28</v>
      </c>
      <c r="H482" s="1" t="s">
        <v>29</v>
      </c>
      <c r="I482" s="1" t="s">
        <v>30</v>
      </c>
      <c r="J482" s="1">
        <v>8</v>
      </c>
      <c r="K482" s="2">
        <v>1759</v>
      </c>
      <c r="L482" s="5">
        <v>11961.2</v>
      </c>
      <c r="M482" s="5">
        <v>1843.2</v>
      </c>
      <c r="N482" s="1" t="s">
        <v>89</v>
      </c>
      <c r="O482" s="1" t="s">
        <v>22</v>
      </c>
      <c r="P482" s="1" t="str">
        <f t="shared" si="7"/>
        <v>High Value</v>
      </c>
    </row>
    <row r="483" spans="1:16" x14ac:dyDescent="0.35">
      <c r="A483" s="3" t="s">
        <v>884</v>
      </c>
      <c r="B483" s="4">
        <v>45704</v>
      </c>
      <c r="C483" s="1" t="s">
        <v>826</v>
      </c>
      <c r="D483" s="1" t="s">
        <v>827</v>
      </c>
      <c r="E483" s="1" t="s">
        <v>111</v>
      </c>
      <c r="F483" s="1" t="s">
        <v>112</v>
      </c>
      <c r="G483" s="1" t="s">
        <v>177</v>
      </c>
      <c r="H483" s="1" t="s">
        <v>178</v>
      </c>
      <c r="I483" s="1" t="s">
        <v>20</v>
      </c>
      <c r="J483" s="1">
        <v>1</v>
      </c>
      <c r="K483" s="2">
        <v>2499</v>
      </c>
      <c r="L483" s="5">
        <v>1999.2</v>
      </c>
      <c r="M483" s="5">
        <v>307.60000000000002</v>
      </c>
      <c r="N483" s="1" t="s">
        <v>21</v>
      </c>
      <c r="O483" s="1" t="s">
        <v>136</v>
      </c>
      <c r="P483" s="1" t="str">
        <f t="shared" si="7"/>
        <v>Low Value</v>
      </c>
    </row>
    <row r="484" spans="1:16" x14ac:dyDescent="0.35">
      <c r="A484" s="3" t="s">
        <v>885</v>
      </c>
      <c r="B484" s="4">
        <v>45907</v>
      </c>
      <c r="C484" s="1" t="s">
        <v>392</v>
      </c>
      <c r="D484" s="1" t="s">
        <v>393</v>
      </c>
      <c r="E484" s="1" t="s">
        <v>111</v>
      </c>
      <c r="F484" s="1" t="s">
        <v>112</v>
      </c>
      <c r="G484" s="1" t="s">
        <v>254</v>
      </c>
      <c r="H484" s="1" t="s">
        <v>255</v>
      </c>
      <c r="I484" s="1" t="s">
        <v>30</v>
      </c>
      <c r="J484" s="1">
        <v>6</v>
      </c>
      <c r="K484" s="2">
        <v>799</v>
      </c>
      <c r="L484" s="5">
        <v>3835.2</v>
      </c>
      <c r="M484" s="5">
        <v>623.04</v>
      </c>
      <c r="N484" s="1" t="s">
        <v>113</v>
      </c>
      <c r="O484" s="1" t="s">
        <v>22</v>
      </c>
      <c r="P484" s="1" t="str">
        <f t="shared" si="7"/>
        <v>Low Value</v>
      </c>
    </row>
    <row r="485" spans="1:16" x14ac:dyDescent="0.35">
      <c r="A485" s="3" t="s">
        <v>886</v>
      </c>
      <c r="B485" s="4">
        <v>45786</v>
      </c>
      <c r="C485" s="1" t="s">
        <v>185</v>
      </c>
      <c r="D485" s="1" t="s">
        <v>186</v>
      </c>
      <c r="E485" s="1" t="s">
        <v>16</v>
      </c>
      <c r="F485" s="1" t="s">
        <v>17</v>
      </c>
      <c r="G485" s="1" t="s">
        <v>50</v>
      </c>
      <c r="H485" s="1" t="s">
        <v>51</v>
      </c>
      <c r="I485" s="1" t="s">
        <v>52</v>
      </c>
      <c r="J485" s="1">
        <v>5</v>
      </c>
      <c r="K485" s="2">
        <v>8399</v>
      </c>
      <c r="L485" s="5">
        <v>33596</v>
      </c>
      <c r="M485" s="5">
        <v>7653.85</v>
      </c>
      <c r="N485" s="1" t="s">
        <v>21</v>
      </c>
      <c r="O485" s="1" t="s">
        <v>22</v>
      </c>
      <c r="P485" s="1" t="str">
        <f t="shared" si="7"/>
        <v>High Value</v>
      </c>
    </row>
    <row r="486" spans="1:16" x14ac:dyDescent="0.35">
      <c r="A486" s="3" t="s">
        <v>887</v>
      </c>
      <c r="B486" s="4">
        <v>45823</v>
      </c>
      <c r="C486" s="1" t="s">
        <v>452</v>
      </c>
      <c r="D486" s="1" t="s">
        <v>453</v>
      </c>
      <c r="E486" s="1" t="s">
        <v>68</v>
      </c>
      <c r="F486" s="1" t="s">
        <v>69</v>
      </c>
      <c r="G486" s="1" t="s">
        <v>131</v>
      </c>
      <c r="H486" s="1" t="s">
        <v>132</v>
      </c>
      <c r="I486" s="1" t="s">
        <v>44</v>
      </c>
      <c r="J486" s="1">
        <v>3</v>
      </c>
      <c r="K486" s="2">
        <v>494</v>
      </c>
      <c r="L486" s="5">
        <v>1259.7</v>
      </c>
      <c r="M486" s="5">
        <v>194.13</v>
      </c>
      <c r="N486" s="1" t="s">
        <v>59</v>
      </c>
      <c r="O486" s="1" t="s">
        <v>136</v>
      </c>
      <c r="P486" s="1" t="str">
        <f t="shared" si="7"/>
        <v>Low Value</v>
      </c>
    </row>
    <row r="487" spans="1:16" x14ac:dyDescent="0.35">
      <c r="A487" s="3" t="s">
        <v>888</v>
      </c>
      <c r="B487" s="4">
        <v>45845</v>
      </c>
      <c r="C487" s="1" t="s">
        <v>496</v>
      </c>
      <c r="D487" s="1" t="s">
        <v>366</v>
      </c>
      <c r="E487" s="1" t="s">
        <v>166</v>
      </c>
      <c r="F487" s="1" t="s">
        <v>27</v>
      </c>
      <c r="G487" s="1" t="s">
        <v>213</v>
      </c>
      <c r="H487" s="1" t="s">
        <v>214</v>
      </c>
      <c r="I487" s="1" t="s">
        <v>107</v>
      </c>
      <c r="J487" s="1">
        <v>7</v>
      </c>
      <c r="K487" s="2">
        <v>2089</v>
      </c>
      <c r="L487" s="5">
        <v>14623</v>
      </c>
      <c r="M487" s="5">
        <v>4595.21</v>
      </c>
      <c r="N487" s="1" t="s">
        <v>21</v>
      </c>
      <c r="O487" s="1" t="s">
        <v>136</v>
      </c>
      <c r="P487" s="1" t="str">
        <f t="shared" si="7"/>
        <v>High Value</v>
      </c>
    </row>
    <row r="488" spans="1:16" x14ac:dyDescent="0.35">
      <c r="A488" s="3" t="s">
        <v>889</v>
      </c>
      <c r="B488" s="4">
        <v>45780</v>
      </c>
      <c r="C488" s="1" t="s">
        <v>704</v>
      </c>
      <c r="D488" s="1" t="s">
        <v>705</v>
      </c>
      <c r="E488" s="1" t="s">
        <v>34</v>
      </c>
      <c r="F488" s="1" t="s">
        <v>27</v>
      </c>
      <c r="G488" s="1" t="s">
        <v>254</v>
      </c>
      <c r="H488" s="1" t="s">
        <v>255</v>
      </c>
      <c r="I488" s="1" t="s">
        <v>30</v>
      </c>
      <c r="J488" s="1">
        <v>7</v>
      </c>
      <c r="K488" s="2">
        <v>799</v>
      </c>
      <c r="L488" s="5">
        <v>4754.05</v>
      </c>
      <c r="M488" s="5">
        <v>1285.06</v>
      </c>
      <c r="N488" s="1" t="s">
        <v>21</v>
      </c>
      <c r="O488" s="1" t="s">
        <v>22</v>
      </c>
      <c r="P488" s="1" t="str">
        <f t="shared" si="7"/>
        <v>Low Value</v>
      </c>
    </row>
    <row r="489" spans="1:16" x14ac:dyDescent="0.35">
      <c r="A489" s="3" t="s">
        <v>890</v>
      </c>
      <c r="B489" s="4">
        <v>45823</v>
      </c>
      <c r="C489" s="1" t="s">
        <v>891</v>
      </c>
      <c r="D489" s="1" t="s">
        <v>160</v>
      </c>
      <c r="E489" s="1" t="s">
        <v>111</v>
      </c>
      <c r="F489" s="1" t="s">
        <v>112</v>
      </c>
      <c r="G489" s="1" t="s">
        <v>120</v>
      </c>
      <c r="H489" s="1" t="s">
        <v>121</v>
      </c>
      <c r="I489" s="1" t="s">
        <v>20</v>
      </c>
      <c r="J489" s="1">
        <v>2</v>
      </c>
      <c r="K489" s="2">
        <v>1574</v>
      </c>
      <c r="L489" s="5">
        <v>2518.4</v>
      </c>
      <c r="M489" s="5">
        <v>339.15</v>
      </c>
      <c r="N489" s="1" t="s">
        <v>45</v>
      </c>
      <c r="O489" s="1" t="s">
        <v>22</v>
      </c>
      <c r="P489" s="1" t="str">
        <f t="shared" si="7"/>
        <v>Low Value</v>
      </c>
    </row>
    <row r="490" spans="1:16" x14ac:dyDescent="0.35">
      <c r="A490" s="3" t="s">
        <v>892</v>
      </c>
      <c r="B490" s="4">
        <v>45761</v>
      </c>
      <c r="C490" s="1" t="s">
        <v>191</v>
      </c>
      <c r="D490" s="1" t="s">
        <v>192</v>
      </c>
      <c r="E490" s="1" t="s">
        <v>16</v>
      </c>
      <c r="F490" s="1" t="s">
        <v>17</v>
      </c>
      <c r="G490" s="1" t="s">
        <v>161</v>
      </c>
      <c r="H490" s="1" t="s">
        <v>162</v>
      </c>
      <c r="I490" s="1" t="s">
        <v>37</v>
      </c>
      <c r="J490" s="1">
        <v>2</v>
      </c>
      <c r="K490" s="2">
        <v>2069</v>
      </c>
      <c r="L490" s="5">
        <v>3517.3</v>
      </c>
      <c r="M490" s="5">
        <v>918.67</v>
      </c>
      <c r="N490" s="1" t="s">
        <v>113</v>
      </c>
      <c r="O490" s="1" t="s">
        <v>22</v>
      </c>
      <c r="P490" s="1" t="str">
        <f t="shared" si="7"/>
        <v>Low Value</v>
      </c>
    </row>
    <row r="491" spans="1:16" x14ac:dyDescent="0.35">
      <c r="A491" s="3" t="s">
        <v>893</v>
      </c>
      <c r="B491" s="4">
        <v>45977</v>
      </c>
      <c r="C491" s="1" t="s">
        <v>291</v>
      </c>
      <c r="D491" s="1" t="s">
        <v>292</v>
      </c>
      <c r="E491" s="1" t="s">
        <v>68</v>
      </c>
      <c r="F491" s="1" t="s">
        <v>69</v>
      </c>
      <c r="G491" s="1" t="s">
        <v>177</v>
      </c>
      <c r="H491" s="1" t="s">
        <v>178</v>
      </c>
      <c r="I491" s="1" t="s">
        <v>20</v>
      </c>
      <c r="J491" s="1">
        <v>6</v>
      </c>
      <c r="K491" s="2">
        <v>2499</v>
      </c>
      <c r="L491" s="5">
        <v>12744.9</v>
      </c>
      <c r="M491" s="5">
        <v>3542.14</v>
      </c>
      <c r="N491" s="1" t="s">
        <v>89</v>
      </c>
      <c r="O491" s="1" t="s">
        <v>90</v>
      </c>
      <c r="P491" s="1" t="str">
        <f t="shared" si="7"/>
        <v>High Value</v>
      </c>
    </row>
    <row r="492" spans="1:16" x14ac:dyDescent="0.35">
      <c r="A492" s="3" t="s">
        <v>894</v>
      </c>
      <c r="B492" s="4">
        <v>45993</v>
      </c>
      <c r="C492" s="1" t="s">
        <v>543</v>
      </c>
      <c r="D492" s="1" t="s">
        <v>484</v>
      </c>
      <c r="E492" s="1" t="s">
        <v>34</v>
      </c>
      <c r="F492" s="1" t="s">
        <v>27</v>
      </c>
      <c r="G492" s="1" t="s">
        <v>50</v>
      </c>
      <c r="H492" s="1" t="s">
        <v>51</v>
      </c>
      <c r="I492" s="1" t="s">
        <v>52</v>
      </c>
      <c r="J492" s="1">
        <v>1</v>
      </c>
      <c r="K492" s="2">
        <v>7999</v>
      </c>
      <c r="L492" s="5">
        <v>6799.15</v>
      </c>
      <c r="M492" s="5">
        <v>1928</v>
      </c>
      <c r="N492" s="1" t="s">
        <v>113</v>
      </c>
      <c r="O492" s="1" t="s">
        <v>136</v>
      </c>
      <c r="P492" s="1" t="str">
        <f t="shared" si="7"/>
        <v>Medium Value</v>
      </c>
    </row>
    <row r="493" spans="1:16" x14ac:dyDescent="0.35">
      <c r="A493" s="3" t="s">
        <v>895</v>
      </c>
      <c r="B493" s="4">
        <v>45687</v>
      </c>
      <c r="C493" s="1" t="s">
        <v>404</v>
      </c>
      <c r="D493" s="1" t="s">
        <v>405</v>
      </c>
      <c r="E493" s="1" t="s">
        <v>68</v>
      </c>
      <c r="F493" s="1" t="s">
        <v>69</v>
      </c>
      <c r="G493" s="1" t="s">
        <v>213</v>
      </c>
      <c r="H493" s="1" t="s">
        <v>214</v>
      </c>
      <c r="I493" s="1" t="s">
        <v>107</v>
      </c>
      <c r="J493" s="1">
        <v>1</v>
      </c>
      <c r="K493" s="2">
        <v>2089</v>
      </c>
      <c r="L493" s="5">
        <v>2089</v>
      </c>
      <c r="M493" s="5">
        <v>634.17999999999995</v>
      </c>
      <c r="N493" s="1" t="s">
        <v>89</v>
      </c>
      <c r="O493" s="1" t="s">
        <v>53</v>
      </c>
      <c r="P493" s="1" t="str">
        <f t="shared" si="7"/>
        <v>Low Value</v>
      </c>
    </row>
    <row r="494" spans="1:16" x14ac:dyDescent="0.35">
      <c r="A494" s="3" t="s">
        <v>896</v>
      </c>
      <c r="B494" s="4">
        <v>45707</v>
      </c>
      <c r="C494" s="1" t="s">
        <v>486</v>
      </c>
      <c r="D494" s="1" t="s">
        <v>487</v>
      </c>
      <c r="E494" s="1" t="s">
        <v>141</v>
      </c>
      <c r="F494" s="1" t="s">
        <v>69</v>
      </c>
      <c r="G494" s="1" t="s">
        <v>254</v>
      </c>
      <c r="H494" s="1" t="s">
        <v>255</v>
      </c>
      <c r="I494" s="1" t="s">
        <v>30</v>
      </c>
      <c r="J494" s="1">
        <v>7</v>
      </c>
      <c r="K494" s="2">
        <v>799</v>
      </c>
      <c r="L494" s="5">
        <v>5593</v>
      </c>
      <c r="M494" s="5">
        <v>1318.62</v>
      </c>
      <c r="N494" s="1" t="s">
        <v>45</v>
      </c>
      <c r="O494" s="1" t="s">
        <v>22</v>
      </c>
      <c r="P494" s="1" t="str">
        <f t="shared" si="7"/>
        <v>Medium Value</v>
      </c>
    </row>
    <row r="495" spans="1:16" x14ac:dyDescent="0.35">
      <c r="A495" s="3" t="s">
        <v>897</v>
      </c>
      <c r="B495" s="4">
        <v>45943</v>
      </c>
      <c r="C495" s="1" t="s">
        <v>342</v>
      </c>
      <c r="D495" s="1" t="s">
        <v>343</v>
      </c>
      <c r="E495" s="1" t="s">
        <v>75</v>
      </c>
      <c r="F495" s="1" t="s">
        <v>76</v>
      </c>
      <c r="G495" s="1" t="s">
        <v>120</v>
      </c>
      <c r="H495" s="1" t="s">
        <v>121</v>
      </c>
      <c r="I495" s="1" t="s">
        <v>20</v>
      </c>
      <c r="J495" s="1">
        <v>6</v>
      </c>
      <c r="K495" s="2">
        <v>1649</v>
      </c>
      <c r="L495" s="5">
        <v>8904.6</v>
      </c>
      <c r="M495" s="5">
        <v>2444.86</v>
      </c>
      <c r="N495" s="1" t="s">
        <v>113</v>
      </c>
      <c r="O495" s="1" t="s">
        <v>90</v>
      </c>
      <c r="P495" s="1" t="str">
        <f t="shared" si="7"/>
        <v>Medium Value</v>
      </c>
    </row>
    <row r="496" spans="1:16" x14ac:dyDescent="0.35">
      <c r="A496" s="3" t="s">
        <v>898</v>
      </c>
      <c r="B496" s="4">
        <v>45750</v>
      </c>
      <c r="C496" s="1" t="s">
        <v>606</v>
      </c>
      <c r="D496" s="1" t="s">
        <v>74</v>
      </c>
      <c r="E496" s="1" t="s">
        <v>145</v>
      </c>
      <c r="F496" s="1" t="s">
        <v>0</v>
      </c>
      <c r="G496" s="1" t="s">
        <v>213</v>
      </c>
      <c r="H496" s="1" t="s">
        <v>214</v>
      </c>
      <c r="I496" s="1" t="s">
        <v>107</v>
      </c>
      <c r="J496" s="1">
        <v>6</v>
      </c>
      <c r="K496" s="2">
        <v>2089</v>
      </c>
      <c r="L496" s="5">
        <v>12534</v>
      </c>
      <c r="M496" s="5">
        <v>2976.3</v>
      </c>
      <c r="N496" s="1" t="s">
        <v>21</v>
      </c>
      <c r="O496" s="1" t="s">
        <v>22</v>
      </c>
      <c r="P496" s="1" t="str">
        <f t="shared" si="7"/>
        <v>High Value</v>
      </c>
    </row>
    <row r="497" spans="1:16" x14ac:dyDescent="0.35">
      <c r="A497" s="3" t="s">
        <v>899</v>
      </c>
      <c r="B497" s="4">
        <v>45819</v>
      </c>
      <c r="C497" s="1" t="s">
        <v>606</v>
      </c>
      <c r="D497" s="1" t="s">
        <v>74</v>
      </c>
      <c r="E497" s="1" t="s">
        <v>111</v>
      </c>
      <c r="F497" s="1" t="s">
        <v>112</v>
      </c>
      <c r="G497" s="1" t="s">
        <v>95</v>
      </c>
      <c r="H497" s="1" t="s">
        <v>96</v>
      </c>
      <c r="I497" s="1" t="s">
        <v>97</v>
      </c>
      <c r="J497" s="1">
        <v>7</v>
      </c>
      <c r="K497" s="2">
        <v>274</v>
      </c>
      <c r="L497" s="5">
        <v>1726.2</v>
      </c>
      <c r="M497" s="5">
        <v>520.89</v>
      </c>
      <c r="N497" s="1" t="s">
        <v>59</v>
      </c>
      <c r="O497" s="1" t="s">
        <v>22</v>
      </c>
      <c r="P497" s="1" t="str">
        <f t="shared" si="7"/>
        <v>Low Value</v>
      </c>
    </row>
    <row r="498" spans="1:16" x14ac:dyDescent="0.35">
      <c r="A498" s="3" t="s">
        <v>900</v>
      </c>
      <c r="B498" s="4">
        <v>45937</v>
      </c>
      <c r="C498" s="1" t="s">
        <v>55</v>
      </c>
      <c r="D498" s="1" t="s">
        <v>56</v>
      </c>
      <c r="E498" s="1" t="s">
        <v>145</v>
      </c>
      <c r="F498" s="1" t="s">
        <v>0</v>
      </c>
      <c r="G498" s="1" t="s">
        <v>254</v>
      </c>
      <c r="H498" s="1" t="s">
        <v>255</v>
      </c>
      <c r="I498" s="1" t="s">
        <v>30</v>
      </c>
      <c r="J498" s="1">
        <v>5</v>
      </c>
      <c r="K498" s="2">
        <v>799</v>
      </c>
      <c r="L498" s="5">
        <v>3595.5</v>
      </c>
      <c r="M498" s="5">
        <v>785.44</v>
      </c>
      <c r="N498" s="1" t="s">
        <v>113</v>
      </c>
      <c r="O498" s="1" t="s">
        <v>22</v>
      </c>
      <c r="P498" s="1" t="str">
        <f t="shared" si="7"/>
        <v>Low Value</v>
      </c>
    </row>
    <row r="499" spans="1:16" x14ac:dyDescent="0.35">
      <c r="A499" s="3" t="s">
        <v>901</v>
      </c>
      <c r="B499" s="4">
        <v>45803</v>
      </c>
      <c r="C499" s="1" t="s">
        <v>32</v>
      </c>
      <c r="D499" s="1" t="s">
        <v>33</v>
      </c>
      <c r="E499" s="1" t="s">
        <v>166</v>
      </c>
      <c r="F499" s="1" t="s">
        <v>27</v>
      </c>
      <c r="G499" s="1" t="s">
        <v>213</v>
      </c>
      <c r="H499" s="1" t="s">
        <v>214</v>
      </c>
      <c r="I499" s="1" t="s">
        <v>107</v>
      </c>
      <c r="J499" s="1">
        <v>3</v>
      </c>
      <c r="K499" s="2">
        <v>1899</v>
      </c>
      <c r="L499" s="5">
        <v>5697</v>
      </c>
      <c r="M499" s="5">
        <v>1060.06</v>
      </c>
      <c r="N499" s="1" t="s">
        <v>45</v>
      </c>
      <c r="O499" s="1" t="s">
        <v>22</v>
      </c>
      <c r="P499" s="1" t="str">
        <f t="shared" si="7"/>
        <v>Medium Value</v>
      </c>
    </row>
    <row r="500" spans="1:16" x14ac:dyDescent="0.35">
      <c r="A500" s="3" t="s">
        <v>902</v>
      </c>
      <c r="B500" s="4">
        <v>45669</v>
      </c>
      <c r="C500" s="1" t="s">
        <v>238</v>
      </c>
      <c r="D500" s="1" t="s">
        <v>239</v>
      </c>
      <c r="E500" s="1" t="s">
        <v>68</v>
      </c>
      <c r="F500" s="1" t="s">
        <v>69</v>
      </c>
      <c r="G500" s="1" t="s">
        <v>254</v>
      </c>
      <c r="H500" s="1" t="s">
        <v>255</v>
      </c>
      <c r="I500" s="1" t="s">
        <v>30</v>
      </c>
      <c r="J500" s="1">
        <v>3</v>
      </c>
      <c r="K500" s="2">
        <v>719</v>
      </c>
      <c r="L500" s="5">
        <v>2157</v>
      </c>
      <c r="M500" s="5">
        <v>477.3</v>
      </c>
      <c r="N500" s="1" t="s">
        <v>45</v>
      </c>
      <c r="O500" s="1" t="s">
        <v>22</v>
      </c>
      <c r="P500" s="1" t="str">
        <f t="shared" si="7"/>
        <v>Low Value</v>
      </c>
    </row>
    <row r="501" spans="1:16" x14ac:dyDescent="0.35">
      <c r="A501" s="3" t="s">
        <v>903</v>
      </c>
      <c r="B501" s="4">
        <v>45956</v>
      </c>
      <c r="C501" s="1" t="s">
        <v>92</v>
      </c>
      <c r="D501" s="1" t="s">
        <v>93</v>
      </c>
      <c r="E501" s="1" t="s">
        <v>141</v>
      </c>
      <c r="F501" s="1" t="s">
        <v>69</v>
      </c>
      <c r="G501" s="1" t="s">
        <v>57</v>
      </c>
      <c r="H501" s="1" t="s">
        <v>58</v>
      </c>
      <c r="I501" s="1" t="s">
        <v>44</v>
      </c>
      <c r="J501" s="1">
        <v>5</v>
      </c>
      <c r="K501" s="2">
        <v>359</v>
      </c>
      <c r="L501" s="5">
        <v>1525.75</v>
      </c>
      <c r="M501" s="5">
        <v>317.29000000000002</v>
      </c>
      <c r="N501" s="1" t="s">
        <v>45</v>
      </c>
      <c r="O501" s="1" t="s">
        <v>22</v>
      </c>
      <c r="P501" s="1" t="str">
        <f t="shared" si="7"/>
        <v>Low Value</v>
      </c>
    </row>
    <row r="502" spans="1:16" x14ac:dyDescent="0.35">
      <c r="A502" s="3" t="s">
        <v>904</v>
      </c>
      <c r="B502" s="4">
        <v>45824</v>
      </c>
      <c r="C502" s="1" t="s">
        <v>396</v>
      </c>
      <c r="D502" s="1" t="s">
        <v>366</v>
      </c>
      <c r="E502" s="1" t="s">
        <v>101</v>
      </c>
      <c r="F502" s="1" t="s">
        <v>86</v>
      </c>
      <c r="G502" s="1" t="s">
        <v>105</v>
      </c>
      <c r="H502" s="1" t="s">
        <v>106</v>
      </c>
      <c r="I502" s="1" t="s">
        <v>107</v>
      </c>
      <c r="J502" s="1">
        <v>2</v>
      </c>
      <c r="K502" s="2">
        <v>1049</v>
      </c>
      <c r="L502" s="5">
        <v>1678.4</v>
      </c>
      <c r="M502" s="5">
        <v>312.33</v>
      </c>
      <c r="N502" s="1" t="s">
        <v>21</v>
      </c>
      <c r="O502" s="1" t="s">
        <v>22</v>
      </c>
      <c r="P502" s="1" t="str">
        <f t="shared" si="7"/>
        <v>Low Value</v>
      </c>
    </row>
    <row r="503" spans="1:16" x14ac:dyDescent="0.35">
      <c r="A503" s="3" t="s">
        <v>905</v>
      </c>
      <c r="B503" s="4">
        <v>45829</v>
      </c>
      <c r="C503" s="1" t="s">
        <v>365</v>
      </c>
      <c r="D503" s="1" t="s">
        <v>366</v>
      </c>
      <c r="E503" s="1" t="s">
        <v>75</v>
      </c>
      <c r="F503" s="1" t="s">
        <v>76</v>
      </c>
      <c r="G503" s="1" t="s">
        <v>87</v>
      </c>
      <c r="H503" s="1" t="s">
        <v>88</v>
      </c>
      <c r="I503" s="1" t="s">
        <v>52</v>
      </c>
      <c r="J503" s="1">
        <v>2</v>
      </c>
      <c r="K503" s="2">
        <v>6499</v>
      </c>
      <c r="L503" s="5">
        <v>10398.4</v>
      </c>
      <c r="M503" s="5">
        <v>2741.14</v>
      </c>
      <c r="N503" s="1" t="s">
        <v>21</v>
      </c>
      <c r="O503" s="1" t="s">
        <v>90</v>
      </c>
      <c r="P503" s="1" t="str">
        <f t="shared" si="7"/>
        <v>High Value</v>
      </c>
    </row>
    <row r="504" spans="1:16" x14ac:dyDescent="0.35">
      <c r="A504" s="3" t="s">
        <v>906</v>
      </c>
      <c r="B504" s="4">
        <v>45981</v>
      </c>
      <c r="C504" s="1" t="s">
        <v>103</v>
      </c>
      <c r="D504" s="1" t="s">
        <v>104</v>
      </c>
      <c r="E504" s="1" t="s">
        <v>26</v>
      </c>
      <c r="F504" s="1" t="s">
        <v>27</v>
      </c>
      <c r="G504" s="1" t="s">
        <v>70</v>
      </c>
      <c r="H504" s="1" t="s">
        <v>71</v>
      </c>
      <c r="I504" s="1" t="s">
        <v>44</v>
      </c>
      <c r="J504" s="1">
        <v>1</v>
      </c>
      <c r="K504" s="2">
        <v>3299</v>
      </c>
      <c r="L504" s="5">
        <v>2804.15</v>
      </c>
      <c r="M504" s="5">
        <v>685</v>
      </c>
      <c r="N504" s="1" t="s">
        <v>59</v>
      </c>
      <c r="O504" s="1" t="s">
        <v>22</v>
      </c>
      <c r="P504" s="1" t="str">
        <f t="shared" si="7"/>
        <v>Low Value</v>
      </c>
    </row>
    <row r="505" spans="1:16" x14ac:dyDescent="0.35">
      <c r="A505" s="3" t="s">
        <v>907</v>
      </c>
      <c r="B505" s="4">
        <v>45736</v>
      </c>
      <c r="C505" s="1" t="s">
        <v>521</v>
      </c>
      <c r="D505" s="1" t="s">
        <v>189</v>
      </c>
      <c r="E505" s="1" t="s">
        <v>145</v>
      </c>
      <c r="F505" s="1" t="s">
        <v>0</v>
      </c>
      <c r="G505" s="1" t="s">
        <v>50</v>
      </c>
      <c r="H505" s="1" t="s">
        <v>51</v>
      </c>
      <c r="I505" s="1" t="s">
        <v>52</v>
      </c>
      <c r="J505" s="1">
        <v>2</v>
      </c>
      <c r="K505" s="2">
        <v>7999</v>
      </c>
      <c r="L505" s="5">
        <v>14398.2</v>
      </c>
      <c r="M505" s="5">
        <v>2645.7</v>
      </c>
      <c r="N505" s="1" t="s">
        <v>113</v>
      </c>
      <c r="O505" s="1" t="s">
        <v>22</v>
      </c>
      <c r="P505" s="1" t="str">
        <f t="shared" si="7"/>
        <v>High Value</v>
      </c>
    </row>
    <row r="506" spans="1:16" x14ac:dyDescent="0.35">
      <c r="A506" s="3" t="s">
        <v>908</v>
      </c>
      <c r="B506" s="4">
        <v>45700</v>
      </c>
      <c r="C506" s="1" t="s">
        <v>210</v>
      </c>
      <c r="D506" s="1" t="s">
        <v>211</v>
      </c>
      <c r="E506" s="1" t="s">
        <v>26</v>
      </c>
      <c r="F506" s="1" t="s">
        <v>27</v>
      </c>
      <c r="G506" s="1" t="s">
        <v>254</v>
      </c>
      <c r="H506" s="1" t="s">
        <v>255</v>
      </c>
      <c r="I506" s="1" t="s">
        <v>30</v>
      </c>
      <c r="J506" s="1">
        <v>7</v>
      </c>
      <c r="K506" s="2">
        <v>799</v>
      </c>
      <c r="L506" s="5">
        <v>5593</v>
      </c>
      <c r="M506" s="5">
        <v>1161.53</v>
      </c>
      <c r="N506" s="1" t="s">
        <v>113</v>
      </c>
      <c r="O506" s="1" t="s">
        <v>136</v>
      </c>
      <c r="P506" s="1" t="str">
        <f t="shared" si="7"/>
        <v>Medium Value</v>
      </c>
    </row>
    <row r="507" spans="1:16" x14ac:dyDescent="0.35">
      <c r="A507" s="3" t="s">
        <v>909</v>
      </c>
      <c r="B507" s="4">
        <v>45727</v>
      </c>
      <c r="C507" s="1" t="s">
        <v>396</v>
      </c>
      <c r="D507" s="1" t="s">
        <v>366</v>
      </c>
      <c r="E507" s="1" t="s">
        <v>80</v>
      </c>
      <c r="F507" s="1" t="s">
        <v>81</v>
      </c>
      <c r="G507" s="1" t="s">
        <v>161</v>
      </c>
      <c r="H507" s="1" t="s">
        <v>162</v>
      </c>
      <c r="I507" s="1" t="s">
        <v>37</v>
      </c>
      <c r="J507" s="1">
        <v>8</v>
      </c>
      <c r="K507" s="2">
        <v>2299</v>
      </c>
      <c r="L507" s="5">
        <v>14713.6</v>
      </c>
      <c r="M507" s="5">
        <v>3615.02</v>
      </c>
      <c r="N507" s="1" t="s">
        <v>21</v>
      </c>
      <c r="O507" s="1" t="s">
        <v>22</v>
      </c>
      <c r="P507" s="1" t="str">
        <f t="shared" si="7"/>
        <v>High Value</v>
      </c>
    </row>
    <row r="508" spans="1:16" x14ac:dyDescent="0.35">
      <c r="A508" s="3" t="s">
        <v>910</v>
      </c>
      <c r="B508" s="4">
        <v>45926</v>
      </c>
      <c r="C508" s="1" t="s">
        <v>92</v>
      </c>
      <c r="D508" s="1" t="s">
        <v>93</v>
      </c>
      <c r="E508" s="1" t="s">
        <v>141</v>
      </c>
      <c r="F508" s="1" t="s">
        <v>69</v>
      </c>
      <c r="G508" s="1" t="s">
        <v>182</v>
      </c>
      <c r="H508" s="1" t="s">
        <v>183</v>
      </c>
      <c r="I508" s="1" t="s">
        <v>20</v>
      </c>
      <c r="J508" s="1">
        <v>5</v>
      </c>
      <c r="K508" s="2">
        <v>1799</v>
      </c>
      <c r="L508" s="5">
        <v>8545.25</v>
      </c>
      <c r="M508" s="5">
        <v>2312.71</v>
      </c>
      <c r="N508" s="1" t="s">
        <v>21</v>
      </c>
      <c r="O508" s="1" t="s">
        <v>22</v>
      </c>
      <c r="P508" s="1" t="str">
        <f t="shared" si="7"/>
        <v>Medium Value</v>
      </c>
    </row>
    <row r="509" spans="1:16" x14ac:dyDescent="0.35">
      <c r="A509" s="3" t="s">
        <v>911</v>
      </c>
      <c r="B509" s="4">
        <v>45869</v>
      </c>
      <c r="C509" s="1" t="s">
        <v>407</v>
      </c>
      <c r="D509" s="1" t="s">
        <v>15</v>
      </c>
      <c r="E509" s="1" t="s">
        <v>312</v>
      </c>
      <c r="F509" s="1" t="s">
        <v>112</v>
      </c>
      <c r="G509" s="1" t="s">
        <v>95</v>
      </c>
      <c r="H509" s="1" t="s">
        <v>96</v>
      </c>
      <c r="I509" s="1" t="s">
        <v>97</v>
      </c>
      <c r="J509" s="1">
        <v>4</v>
      </c>
      <c r="K509" s="2">
        <v>249</v>
      </c>
      <c r="L509" s="5">
        <v>946.2</v>
      </c>
      <c r="M509" s="5">
        <v>237.17</v>
      </c>
      <c r="N509" s="1" t="s">
        <v>89</v>
      </c>
      <c r="O509" s="1" t="s">
        <v>136</v>
      </c>
      <c r="P509" s="1" t="str">
        <f t="shared" si="7"/>
        <v>Low Value</v>
      </c>
    </row>
    <row r="510" spans="1:16" x14ac:dyDescent="0.35">
      <c r="A510" s="3" t="s">
        <v>912</v>
      </c>
      <c r="B510" s="4">
        <v>45837</v>
      </c>
      <c r="C510" s="1" t="s">
        <v>404</v>
      </c>
      <c r="D510" s="1" t="s">
        <v>405</v>
      </c>
      <c r="E510" s="1" t="s">
        <v>172</v>
      </c>
      <c r="F510" s="1" t="s">
        <v>173</v>
      </c>
      <c r="G510" s="1" t="s">
        <v>131</v>
      </c>
      <c r="H510" s="1" t="s">
        <v>132</v>
      </c>
      <c r="I510" s="1" t="s">
        <v>44</v>
      </c>
      <c r="J510" s="1">
        <v>3</v>
      </c>
      <c r="K510" s="2">
        <v>549</v>
      </c>
      <c r="L510" s="5">
        <v>1647</v>
      </c>
      <c r="M510" s="5">
        <v>532.52</v>
      </c>
      <c r="N510" s="1" t="s">
        <v>45</v>
      </c>
      <c r="O510" s="1" t="s">
        <v>22</v>
      </c>
      <c r="P510" s="1" t="str">
        <f t="shared" si="7"/>
        <v>Low Value</v>
      </c>
    </row>
    <row r="511" spans="1:16" x14ac:dyDescent="0.35">
      <c r="A511" s="3" t="s">
        <v>913</v>
      </c>
      <c r="B511" s="4">
        <v>45737</v>
      </c>
      <c r="C511" s="1" t="s">
        <v>229</v>
      </c>
      <c r="D511" s="1" t="s">
        <v>230</v>
      </c>
      <c r="E511" s="1" t="s">
        <v>94</v>
      </c>
      <c r="F511" s="1" t="s">
        <v>27</v>
      </c>
      <c r="G511" s="1" t="s">
        <v>177</v>
      </c>
      <c r="H511" s="1" t="s">
        <v>178</v>
      </c>
      <c r="I511" s="1" t="s">
        <v>20</v>
      </c>
      <c r="J511" s="1">
        <v>4</v>
      </c>
      <c r="K511" s="2">
        <v>2624</v>
      </c>
      <c r="L511" s="5">
        <v>10496</v>
      </c>
      <c r="M511" s="5">
        <v>3265.57</v>
      </c>
      <c r="N511" s="1" t="s">
        <v>59</v>
      </c>
      <c r="O511" s="1" t="s">
        <v>22</v>
      </c>
      <c r="P511" s="1" t="str">
        <f t="shared" si="7"/>
        <v>High Value</v>
      </c>
    </row>
    <row r="512" spans="1:16" x14ac:dyDescent="0.35">
      <c r="A512" s="3" t="s">
        <v>914</v>
      </c>
      <c r="B512" s="4">
        <v>45714</v>
      </c>
      <c r="C512" s="1" t="s">
        <v>511</v>
      </c>
      <c r="D512" s="1" t="s">
        <v>512</v>
      </c>
      <c r="E512" s="1" t="s">
        <v>172</v>
      </c>
      <c r="F512" s="1" t="s">
        <v>173</v>
      </c>
      <c r="G512" s="1" t="s">
        <v>105</v>
      </c>
      <c r="H512" s="1" t="s">
        <v>106</v>
      </c>
      <c r="I512" s="1" t="s">
        <v>107</v>
      </c>
      <c r="J512" s="1">
        <v>1</v>
      </c>
      <c r="K512" s="2">
        <v>999</v>
      </c>
      <c r="L512" s="5">
        <v>999</v>
      </c>
      <c r="M512" s="5">
        <v>282.52</v>
      </c>
      <c r="N512" s="1" t="s">
        <v>45</v>
      </c>
      <c r="O512" s="1" t="s">
        <v>22</v>
      </c>
      <c r="P512" s="1" t="str">
        <f t="shared" si="7"/>
        <v>Low Value</v>
      </c>
    </row>
    <row r="513" spans="1:16" x14ac:dyDescent="0.35">
      <c r="A513" s="3" t="s">
        <v>915</v>
      </c>
      <c r="B513" s="4">
        <v>45790</v>
      </c>
      <c r="C513" s="1" t="s">
        <v>606</v>
      </c>
      <c r="D513" s="1" t="s">
        <v>74</v>
      </c>
      <c r="E513" s="1" t="s">
        <v>16</v>
      </c>
      <c r="F513" s="1" t="s">
        <v>17</v>
      </c>
      <c r="G513" s="1" t="s">
        <v>131</v>
      </c>
      <c r="H513" s="1" t="s">
        <v>132</v>
      </c>
      <c r="I513" s="1" t="s">
        <v>44</v>
      </c>
      <c r="J513" s="1">
        <v>3</v>
      </c>
      <c r="K513" s="2">
        <v>604</v>
      </c>
      <c r="L513" s="5">
        <v>1449.6</v>
      </c>
      <c r="M513" s="5">
        <v>387.07</v>
      </c>
      <c r="N513" s="1" t="s">
        <v>113</v>
      </c>
      <c r="O513" s="1" t="s">
        <v>22</v>
      </c>
      <c r="P513" s="1" t="str">
        <f t="shared" si="7"/>
        <v>Low Value</v>
      </c>
    </row>
    <row r="514" spans="1:16" x14ac:dyDescent="0.35">
      <c r="A514" s="3" t="s">
        <v>916</v>
      </c>
      <c r="B514" s="4">
        <v>45927</v>
      </c>
      <c r="C514" s="1" t="s">
        <v>139</v>
      </c>
      <c r="D514" s="1" t="s">
        <v>140</v>
      </c>
      <c r="E514" s="1" t="s">
        <v>68</v>
      </c>
      <c r="F514" s="1" t="s">
        <v>69</v>
      </c>
      <c r="G514" s="1" t="s">
        <v>198</v>
      </c>
      <c r="H514" s="1" t="s">
        <v>199</v>
      </c>
      <c r="I514" s="1" t="s">
        <v>37</v>
      </c>
      <c r="J514" s="1">
        <v>1</v>
      </c>
      <c r="K514" s="2">
        <v>699</v>
      </c>
      <c r="L514" s="5">
        <v>699</v>
      </c>
      <c r="M514" s="5">
        <v>205.24</v>
      </c>
      <c r="N514" s="1" t="s">
        <v>21</v>
      </c>
      <c r="O514" s="1" t="s">
        <v>22</v>
      </c>
      <c r="P514" s="1" t="str">
        <f t="shared" ref="P514:P577" si="8">IF(L514&gt;=10000,"High Value",IF(L514&gt;=5000,"Medium Value","Low Value"))</f>
        <v>Low Value</v>
      </c>
    </row>
    <row r="515" spans="1:16" x14ac:dyDescent="0.35">
      <c r="A515" s="3" t="s">
        <v>917</v>
      </c>
      <c r="B515" s="4">
        <v>45993</v>
      </c>
      <c r="C515" s="1" t="s">
        <v>501</v>
      </c>
      <c r="D515" s="1" t="s">
        <v>502</v>
      </c>
      <c r="E515" s="1" t="s">
        <v>34</v>
      </c>
      <c r="F515" s="1" t="s">
        <v>27</v>
      </c>
      <c r="G515" s="1" t="s">
        <v>262</v>
      </c>
      <c r="H515" s="1" t="s">
        <v>263</v>
      </c>
      <c r="I515" s="1" t="s">
        <v>97</v>
      </c>
      <c r="J515" s="1">
        <v>5</v>
      </c>
      <c r="K515" s="2">
        <v>164</v>
      </c>
      <c r="L515" s="5">
        <v>656</v>
      </c>
      <c r="M515" s="5">
        <v>130.71</v>
      </c>
      <c r="N515" s="1" t="s">
        <v>89</v>
      </c>
      <c r="O515" s="1" t="s">
        <v>22</v>
      </c>
      <c r="P515" s="1" t="str">
        <f t="shared" si="8"/>
        <v>Low Value</v>
      </c>
    </row>
    <row r="516" spans="1:16" x14ac:dyDescent="0.35">
      <c r="A516" s="3" t="s">
        <v>918</v>
      </c>
      <c r="B516" s="4">
        <v>45855</v>
      </c>
      <c r="C516" s="1" t="s">
        <v>392</v>
      </c>
      <c r="D516" s="1" t="s">
        <v>393</v>
      </c>
      <c r="E516" s="1" t="s">
        <v>145</v>
      </c>
      <c r="F516" s="1" t="s">
        <v>0</v>
      </c>
      <c r="G516" s="1" t="s">
        <v>213</v>
      </c>
      <c r="H516" s="1" t="s">
        <v>214</v>
      </c>
      <c r="I516" s="1" t="s">
        <v>107</v>
      </c>
      <c r="J516" s="1">
        <v>2</v>
      </c>
      <c r="K516" s="2">
        <v>1899</v>
      </c>
      <c r="L516" s="5">
        <v>3418.2</v>
      </c>
      <c r="M516" s="5">
        <v>1062</v>
      </c>
      <c r="N516" s="1" t="s">
        <v>21</v>
      </c>
      <c r="O516" s="1" t="s">
        <v>22</v>
      </c>
      <c r="P516" s="1" t="str">
        <f t="shared" si="8"/>
        <v>Low Value</v>
      </c>
    </row>
    <row r="517" spans="1:16" x14ac:dyDescent="0.35">
      <c r="A517" s="3" t="s">
        <v>919</v>
      </c>
      <c r="B517" s="4">
        <v>45914</v>
      </c>
      <c r="C517" s="1" t="s">
        <v>473</v>
      </c>
      <c r="D517" s="1" t="s">
        <v>474</v>
      </c>
      <c r="E517" s="1" t="s">
        <v>80</v>
      </c>
      <c r="F517" s="1" t="s">
        <v>81</v>
      </c>
      <c r="G517" s="1" t="s">
        <v>63</v>
      </c>
      <c r="H517" s="1" t="s">
        <v>64</v>
      </c>
      <c r="I517" s="1" t="s">
        <v>20</v>
      </c>
      <c r="J517" s="1">
        <v>1</v>
      </c>
      <c r="K517" s="2">
        <v>599</v>
      </c>
      <c r="L517" s="5">
        <v>509.15</v>
      </c>
      <c r="M517" s="5">
        <v>95.25</v>
      </c>
      <c r="N517" s="1" t="s">
        <v>113</v>
      </c>
      <c r="O517" s="1" t="s">
        <v>22</v>
      </c>
      <c r="P517" s="1" t="str">
        <f t="shared" si="8"/>
        <v>Low Value</v>
      </c>
    </row>
    <row r="518" spans="1:16" x14ac:dyDescent="0.35">
      <c r="A518" s="3" t="s">
        <v>920</v>
      </c>
      <c r="B518" s="4">
        <v>45667</v>
      </c>
      <c r="C518" s="1" t="s">
        <v>480</v>
      </c>
      <c r="D518" s="1" t="s">
        <v>481</v>
      </c>
      <c r="E518" s="1" t="s">
        <v>312</v>
      </c>
      <c r="F518" s="1" t="s">
        <v>112</v>
      </c>
      <c r="G518" s="1" t="s">
        <v>95</v>
      </c>
      <c r="H518" s="1" t="s">
        <v>96</v>
      </c>
      <c r="I518" s="1" t="s">
        <v>97</v>
      </c>
      <c r="J518" s="1">
        <v>5</v>
      </c>
      <c r="K518" s="2">
        <v>249</v>
      </c>
      <c r="L518" s="5">
        <v>1058.25</v>
      </c>
      <c r="M518" s="5">
        <v>191.22</v>
      </c>
      <c r="N518" s="1" t="s">
        <v>89</v>
      </c>
      <c r="O518" s="1" t="s">
        <v>22</v>
      </c>
      <c r="P518" s="1" t="str">
        <f t="shared" si="8"/>
        <v>Low Value</v>
      </c>
    </row>
    <row r="519" spans="1:16" x14ac:dyDescent="0.35">
      <c r="A519" s="3" t="s">
        <v>921</v>
      </c>
      <c r="B519" s="4">
        <v>45673</v>
      </c>
      <c r="C519" s="1" t="s">
        <v>342</v>
      </c>
      <c r="D519" s="1" t="s">
        <v>343</v>
      </c>
      <c r="E519" s="1" t="s">
        <v>68</v>
      </c>
      <c r="F519" s="1" t="s">
        <v>69</v>
      </c>
      <c r="G519" s="1" t="s">
        <v>35</v>
      </c>
      <c r="H519" s="1" t="s">
        <v>36</v>
      </c>
      <c r="I519" s="1" t="s">
        <v>37</v>
      </c>
      <c r="J519" s="1">
        <v>3</v>
      </c>
      <c r="K519" s="2">
        <v>1299</v>
      </c>
      <c r="L519" s="5">
        <v>3507.3</v>
      </c>
      <c r="M519" s="5">
        <v>927.77</v>
      </c>
      <c r="N519" s="1" t="s">
        <v>89</v>
      </c>
      <c r="O519" s="1" t="s">
        <v>22</v>
      </c>
      <c r="P519" s="1" t="str">
        <f t="shared" si="8"/>
        <v>Low Value</v>
      </c>
    </row>
    <row r="520" spans="1:16" x14ac:dyDescent="0.35">
      <c r="A520" s="3" t="s">
        <v>922</v>
      </c>
      <c r="B520" s="4">
        <v>46005</v>
      </c>
      <c r="C520" s="1" t="s">
        <v>460</v>
      </c>
      <c r="D520" s="1" t="s">
        <v>461</v>
      </c>
      <c r="E520" s="1" t="s">
        <v>141</v>
      </c>
      <c r="F520" s="1" t="s">
        <v>69</v>
      </c>
      <c r="G520" s="1" t="s">
        <v>87</v>
      </c>
      <c r="H520" s="1" t="s">
        <v>88</v>
      </c>
      <c r="I520" s="1" t="s">
        <v>52</v>
      </c>
      <c r="J520" s="1">
        <v>4</v>
      </c>
      <c r="K520" s="2">
        <v>6824</v>
      </c>
      <c r="L520" s="5">
        <v>27296</v>
      </c>
      <c r="M520" s="5">
        <v>5836.49</v>
      </c>
      <c r="N520" s="1" t="s">
        <v>59</v>
      </c>
      <c r="O520" s="1" t="s">
        <v>90</v>
      </c>
      <c r="P520" s="1" t="str">
        <f t="shared" si="8"/>
        <v>High Value</v>
      </c>
    </row>
    <row r="521" spans="1:16" x14ac:dyDescent="0.35">
      <c r="A521" s="3" t="s">
        <v>923</v>
      </c>
      <c r="B521" s="4">
        <v>45887</v>
      </c>
      <c r="C521" s="1" t="s">
        <v>243</v>
      </c>
      <c r="D521" s="1" t="s">
        <v>244</v>
      </c>
      <c r="E521" s="1" t="s">
        <v>85</v>
      </c>
      <c r="F521" s="1" t="s">
        <v>86</v>
      </c>
      <c r="G521" s="1" t="s">
        <v>161</v>
      </c>
      <c r="H521" s="1" t="s">
        <v>162</v>
      </c>
      <c r="I521" s="1" t="s">
        <v>37</v>
      </c>
      <c r="J521" s="1">
        <v>3</v>
      </c>
      <c r="K521" s="2">
        <v>2414</v>
      </c>
      <c r="L521" s="5">
        <v>6155.7</v>
      </c>
      <c r="M521" s="5">
        <v>1665.06</v>
      </c>
      <c r="N521" s="1" t="s">
        <v>45</v>
      </c>
      <c r="O521" s="1" t="s">
        <v>90</v>
      </c>
      <c r="P521" s="1" t="str">
        <f t="shared" si="8"/>
        <v>Medium Value</v>
      </c>
    </row>
    <row r="522" spans="1:16" x14ac:dyDescent="0.35">
      <c r="A522" s="3" t="s">
        <v>924</v>
      </c>
      <c r="B522" s="4">
        <v>46010</v>
      </c>
      <c r="C522" s="1" t="s">
        <v>273</v>
      </c>
      <c r="D522" s="1" t="s">
        <v>274</v>
      </c>
      <c r="E522" s="1" t="s">
        <v>85</v>
      </c>
      <c r="F522" s="1" t="s">
        <v>86</v>
      </c>
      <c r="G522" s="1" t="s">
        <v>87</v>
      </c>
      <c r="H522" s="1" t="s">
        <v>88</v>
      </c>
      <c r="I522" s="1" t="s">
        <v>52</v>
      </c>
      <c r="J522" s="1">
        <v>3</v>
      </c>
      <c r="K522" s="2">
        <v>7149</v>
      </c>
      <c r="L522" s="5">
        <v>18229.95</v>
      </c>
      <c r="M522" s="5">
        <v>5865.75</v>
      </c>
      <c r="N522" s="1" t="s">
        <v>59</v>
      </c>
      <c r="O522" s="1" t="s">
        <v>22</v>
      </c>
      <c r="P522" s="1" t="str">
        <f t="shared" si="8"/>
        <v>High Value</v>
      </c>
    </row>
    <row r="523" spans="1:16" x14ac:dyDescent="0.35">
      <c r="A523" s="3" t="s">
        <v>925</v>
      </c>
      <c r="B523" s="4">
        <v>45718</v>
      </c>
      <c r="C523" s="1" t="s">
        <v>846</v>
      </c>
      <c r="D523" s="1" t="s">
        <v>135</v>
      </c>
      <c r="E523" s="1" t="s">
        <v>111</v>
      </c>
      <c r="F523" s="1" t="s">
        <v>112</v>
      </c>
      <c r="G523" s="1" t="s">
        <v>18</v>
      </c>
      <c r="H523" s="1" t="s">
        <v>19</v>
      </c>
      <c r="I523" s="1" t="s">
        <v>20</v>
      </c>
      <c r="J523" s="1">
        <v>1</v>
      </c>
      <c r="K523" s="2">
        <v>3999</v>
      </c>
      <c r="L523" s="5">
        <v>3599.1</v>
      </c>
      <c r="M523" s="5">
        <v>1192.97</v>
      </c>
      <c r="N523" s="1" t="s">
        <v>59</v>
      </c>
      <c r="O523" s="1" t="s">
        <v>22</v>
      </c>
      <c r="P523" s="1" t="str">
        <f t="shared" si="8"/>
        <v>Low Value</v>
      </c>
    </row>
    <row r="524" spans="1:16" x14ac:dyDescent="0.35">
      <c r="A524" s="3" t="s">
        <v>926</v>
      </c>
      <c r="B524" s="4">
        <v>45798</v>
      </c>
      <c r="C524" s="1" t="s">
        <v>268</v>
      </c>
      <c r="D524" s="1" t="s">
        <v>269</v>
      </c>
      <c r="E524" s="1" t="s">
        <v>236</v>
      </c>
      <c r="F524" s="1" t="s">
        <v>86</v>
      </c>
      <c r="G524" s="1" t="s">
        <v>120</v>
      </c>
      <c r="H524" s="1" t="s">
        <v>121</v>
      </c>
      <c r="I524" s="1" t="s">
        <v>20</v>
      </c>
      <c r="J524" s="1">
        <v>3</v>
      </c>
      <c r="K524" s="2">
        <v>1499</v>
      </c>
      <c r="L524" s="5">
        <v>4497</v>
      </c>
      <c r="M524" s="5">
        <v>1293.96</v>
      </c>
      <c r="N524" s="1" t="s">
        <v>21</v>
      </c>
      <c r="O524" s="1" t="s">
        <v>22</v>
      </c>
      <c r="P524" s="1" t="str">
        <f t="shared" si="8"/>
        <v>Low Value</v>
      </c>
    </row>
    <row r="525" spans="1:16" x14ac:dyDescent="0.35">
      <c r="A525" s="3" t="s">
        <v>927</v>
      </c>
      <c r="B525" s="4">
        <v>45948</v>
      </c>
      <c r="C525" s="1" t="s">
        <v>460</v>
      </c>
      <c r="D525" s="1" t="s">
        <v>461</v>
      </c>
      <c r="E525" s="1" t="s">
        <v>141</v>
      </c>
      <c r="F525" s="1" t="s">
        <v>69</v>
      </c>
      <c r="G525" s="1" t="s">
        <v>131</v>
      </c>
      <c r="H525" s="1" t="s">
        <v>132</v>
      </c>
      <c r="I525" s="1" t="s">
        <v>44</v>
      </c>
      <c r="J525" s="1">
        <v>4</v>
      </c>
      <c r="K525" s="2">
        <v>549</v>
      </c>
      <c r="L525" s="5">
        <v>1756.8</v>
      </c>
      <c r="M525" s="5">
        <v>220.9</v>
      </c>
      <c r="N525" s="1" t="s">
        <v>89</v>
      </c>
      <c r="O525" s="1" t="s">
        <v>22</v>
      </c>
      <c r="P525" s="1" t="str">
        <f t="shared" si="8"/>
        <v>Low Value</v>
      </c>
    </row>
    <row r="526" spans="1:16" x14ac:dyDescent="0.35">
      <c r="A526" s="3" t="s">
        <v>928</v>
      </c>
      <c r="B526" s="4">
        <v>45726</v>
      </c>
      <c r="C526" s="1" t="s">
        <v>557</v>
      </c>
      <c r="D526" s="1" t="s">
        <v>558</v>
      </c>
      <c r="E526" s="1" t="s">
        <v>16</v>
      </c>
      <c r="F526" s="1" t="s">
        <v>17</v>
      </c>
      <c r="G526" s="1" t="s">
        <v>95</v>
      </c>
      <c r="H526" s="1" t="s">
        <v>96</v>
      </c>
      <c r="I526" s="1" t="s">
        <v>97</v>
      </c>
      <c r="J526" s="1">
        <v>3</v>
      </c>
      <c r="K526" s="2">
        <v>249</v>
      </c>
      <c r="L526" s="5">
        <v>672.3</v>
      </c>
      <c r="M526" s="5">
        <v>150.76</v>
      </c>
      <c r="N526" s="1" t="s">
        <v>45</v>
      </c>
      <c r="O526" s="1" t="s">
        <v>22</v>
      </c>
      <c r="P526" s="1" t="str">
        <f t="shared" si="8"/>
        <v>Low Value</v>
      </c>
    </row>
    <row r="527" spans="1:16" x14ac:dyDescent="0.35">
      <c r="A527" s="3" t="s">
        <v>929</v>
      </c>
      <c r="B527" s="4">
        <v>45867</v>
      </c>
      <c r="C527" s="1" t="s">
        <v>223</v>
      </c>
      <c r="D527" s="1" t="s">
        <v>224</v>
      </c>
      <c r="E527" s="1" t="s">
        <v>68</v>
      </c>
      <c r="F527" s="1" t="s">
        <v>69</v>
      </c>
      <c r="G527" s="1" t="s">
        <v>87</v>
      </c>
      <c r="H527" s="1" t="s">
        <v>88</v>
      </c>
      <c r="I527" s="1" t="s">
        <v>52</v>
      </c>
      <c r="J527" s="1">
        <v>4</v>
      </c>
      <c r="K527" s="2">
        <v>7149</v>
      </c>
      <c r="L527" s="5">
        <v>22876.799999999999</v>
      </c>
      <c r="M527" s="5">
        <v>7718.94</v>
      </c>
      <c r="N527" s="1" t="s">
        <v>45</v>
      </c>
      <c r="O527" s="1" t="s">
        <v>22</v>
      </c>
      <c r="P527" s="1" t="str">
        <f t="shared" si="8"/>
        <v>High Value</v>
      </c>
    </row>
    <row r="528" spans="1:16" x14ac:dyDescent="0.35">
      <c r="A528" s="3" t="s">
        <v>930</v>
      </c>
      <c r="B528" s="4">
        <v>45973</v>
      </c>
      <c r="C528" s="1" t="s">
        <v>543</v>
      </c>
      <c r="D528" s="1" t="s">
        <v>484</v>
      </c>
      <c r="E528" s="1" t="s">
        <v>111</v>
      </c>
      <c r="F528" s="1" t="s">
        <v>112</v>
      </c>
      <c r="G528" s="1" t="s">
        <v>50</v>
      </c>
      <c r="H528" s="1" t="s">
        <v>51</v>
      </c>
      <c r="I528" s="1" t="s">
        <v>52</v>
      </c>
      <c r="J528" s="1">
        <v>4</v>
      </c>
      <c r="K528" s="2">
        <v>7999</v>
      </c>
      <c r="L528" s="5">
        <v>28796.400000000001</v>
      </c>
      <c r="M528" s="5">
        <v>8373.0499999999993</v>
      </c>
      <c r="N528" s="1" t="s">
        <v>21</v>
      </c>
      <c r="O528" s="1" t="s">
        <v>22</v>
      </c>
      <c r="P528" s="1" t="str">
        <f t="shared" si="8"/>
        <v>High Value</v>
      </c>
    </row>
    <row r="529" spans="1:16" x14ac:dyDescent="0.35">
      <c r="A529" s="3" t="s">
        <v>931</v>
      </c>
      <c r="B529" s="4">
        <v>45818</v>
      </c>
      <c r="C529" s="1" t="s">
        <v>932</v>
      </c>
      <c r="D529" s="1" t="s">
        <v>933</v>
      </c>
      <c r="E529" s="1" t="s">
        <v>80</v>
      </c>
      <c r="F529" s="1" t="s">
        <v>81</v>
      </c>
      <c r="G529" s="1" t="s">
        <v>213</v>
      </c>
      <c r="H529" s="1" t="s">
        <v>214</v>
      </c>
      <c r="I529" s="1" t="s">
        <v>107</v>
      </c>
      <c r="J529" s="1">
        <v>1</v>
      </c>
      <c r="K529" s="2">
        <v>1994</v>
      </c>
      <c r="L529" s="5">
        <v>1994</v>
      </c>
      <c r="M529" s="5">
        <v>437.39</v>
      </c>
      <c r="N529" s="1" t="s">
        <v>89</v>
      </c>
      <c r="O529" s="1" t="s">
        <v>90</v>
      </c>
      <c r="P529" s="1" t="str">
        <f t="shared" si="8"/>
        <v>Low Value</v>
      </c>
    </row>
    <row r="530" spans="1:16" x14ac:dyDescent="0.35">
      <c r="A530" s="3" t="s">
        <v>934</v>
      </c>
      <c r="B530" s="4">
        <v>45923</v>
      </c>
      <c r="C530" s="1" t="s">
        <v>507</v>
      </c>
      <c r="D530" s="1" t="s">
        <v>508</v>
      </c>
      <c r="E530" s="1" t="s">
        <v>145</v>
      </c>
      <c r="F530" s="1" t="s">
        <v>0</v>
      </c>
      <c r="G530" s="1" t="s">
        <v>177</v>
      </c>
      <c r="H530" s="1" t="s">
        <v>178</v>
      </c>
      <c r="I530" s="1" t="s">
        <v>20</v>
      </c>
      <c r="J530" s="1">
        <v>7</v>
      </c>
      <c r="K530" s="2">
        <v>2624</v>
      </c>
      <c r="L530" s="5">
        <v>14694.4</v>
      </c>
      <c r="M530" s="5">
        <v>4875.17</v>
      </c>
      <c r="N530" s="1" t="s">
        <v>45</v>
      </c>
      <c r="O530" s="1" t="s">
        <v>22</v>
      </c>
      <c r="P530" s="1" t="str">
        <f t="shared" si="8"/>
        <v>High Value</v>
      </c>
    </row>
    <row r="531" spans="1:16" x14ac:dyDescent="0.35">
      <c r="A531" s="3" t="s">
        <v>935</v>
      </c>
      <c r="B531" s="4">
        <v>45813</v>
      </c>
      <c r="C531" s="1" t="s">
        <v>294</v>
      </c>
      <c r="D531" s="1" t="s">
        <v>116</v>
      </c>
      <c r="E531" s="1" t="s">
        <v>172</v>
      </c>
      <c r="F531" s="1" t="s">
        <v>173</v>
      </c>
      <c r="G531" s="1" t="s">
        <v>198</v>
      </c>
      <c r="H531" s="1" t="s">
        <v>199</v>
      </c>
      <c r="I531" s="1" t="s">
        <v>37</v>
      </c>
      <c r="J531" s="1">
        <v>7</v>
      </c>
      <c r="K531" s="2">
        <v>699</v>
      </c>
      <c r="L531" s="5">
        <v>4159.05</v>
      </c>
      <c r="M531" s="5">
        <v>1339.99</v>
      </c>
      <c r="N531" s="1" t="s">
        <v>21</v>
      </c>
      <c r="O531" s="1" t="s">
        <v>90</v>
      </c>
      <c r="P531" s="1" t="str">
        <f t="shared" si="8"/>
        <v>Low Value</v>
      </c>
    </row>
    <row r="532" spans="1:16" x14ac:dyDescent="0.35">
      <c r="A532" s="3" t="s">
        <v>936</v>
      </c>
      <c r="B532" s="4">
        <v>45988</v>
      </c>
      <c r="C532" s="1" t="s">
        <v>334</v>
      </c>
      <c r="D532" s="1" t="s">
        <v>335</v>
      </c>
      <c r="E532" s="1" t="s">
        <v>34</v>
      </c>
      <c r="F532" s="1" t="s">
        <v>27</v>
      </c>
      <c r="G532" s="1" t="s">
        <v>213</v>
      </c>
      <c r="H532" s="1" t="s">
        <v>214</v>
      </c>
      <c r="I532" s="1" t="s">
        <v>107</v>
      </c>
      <c r="J532" s="1">
        <v>2</v>
      </c>
      <c r="K532" s="2">
        <v>1899</v>
      </c>
      <c r="L532" s="5">
        <v>3228.3</v>
      </c>
      <c r="M532" s="5">
        <v>1053.48</v>
      </c>
      <c r="N532" s="1" t="s">
        <v>21</v>
      </c>
      <c r="O532" s="1" t="s">
        <v>22</v>
      </c>
      <c r="P532" s="1" t="str">
        <f t="shared" si="8"/>
        <v>Low Value</v>
      </c>
    </row>
    <row r="533" spans="1:16" x14ac:dyDescent="0.35">
      <c r="A533" s="3" t="s">
        <v>937</v>
      </c>
      <c r="B533" s="4">
        <v>45823</v>
      </c>
      <c r="C533" s="1" t="s">
        <v>334</v>
      </c>
      <c r="D533" s="1" t="s">
        <v>335</v>
      </c>
      <c r="E533" s="1" t="s">
        <v>166</v>
      </c>
      <c r="F533" s="1" t="s">
        <v>27</v>
      </c>
      <c r="G533" s="1" t="s">
        <v>198</v>
      </c>
      <c r="H533" s="1" t="s">
        <v>199</v>
      </c>
      <c r="I533" s="1" t="s">
        <v>37</v>
      </c>
      <c r="J533" s="1">
        <v>8</v>
      </c>
      <c r="K533" s="2">
        <v>734</v>
      </c>
      <c r="L533" s="5">
        <v>4697.6000000000004</v>
      </c>
      <c r="M533" s="5">
        <v>1489.49</v>
      </c>
      <c r="N533" s="1" t="s">
        <v>113</v>
      </c>
      <c r="O533" s="1" t="s">
        <v>22</v>
      </c>
      <c r="P533" s="1" t="str">
        <f t="shared" si="8"/>
        <v>Low Value</v>
      </c>
    </row>
    <row r="534" spans="1:16" x14ac:dyDescent="0.35">
      <c r="A534" s="3" t="s">
        <v>938</v>
      </c>
      <c r="B534" s="4">
        <v>46012</v>
      </c>
      <c r="C534" s="1" t="s">
        <v>769</v>
      </c>
      <c r="D534" s="1" t="s">
        <v>100</v>
      </c>
      <c r="E534" s="1" t="s">
        <v>101</v>
      </c>
      <c r="F534" s="1" t="s">
        <v>86</v>
      </c>
      <c r="G534" s="1" t="s">
        <v>120</v>
      </c>
      <c r="H534" s="1" t="s">
        <v>121</v>
      </c>
      <c r="I534" s="1" t="s">
        <v>20</v>
      </c>
      <c r="J534" s="1">
        <v>2</v>
      </c>
      <c r="K534" s="2">
        <v>1349</v>
      </c>
      <c r="L534" s="5">
        <v>2158.4</v>
      </c>
      <c r="M534" s="5">
        <v>472.4</v>
      </c>
      <c r="N534" s="1" t="s">
        <v>59</v>
      </c>
      <c r="O534" s="1" t="s">
        <v>22</v>
      </c>
      <c r="P534" s="1" t="str">
        <f t="shared" si="8"/>
        <v>Low Value</v>
      </c>
    </row>
    <row r="535" spans="1:16" x14ac:dyDescent="0.35">
      <c r="A535" s="3" t="s">
        <v>939</v>
      </c>
      <c r="B535" s="4">
        <v>45854</v>
      </c>
      <c r="C535" s="1" t="s">
        <v>386</v>
      </c>
      <c r="D535" s="1" t="s">
        <v>277</v>
      </c>
      <c r="E535" s="1" t="s">
        <v>101</v>
      </c>
      <c r="F535" s="1" t="s">
        <v>86</v>
      </c>
      <c r="G535" s="1" t="s">
        <v>262</v>
      </c>
      <c r="H535" s="1" t="s">
        <v>263</v>
      </c>
      <c r="I535" s="1" t="s">
        <v>97</v>
      </c>
      <c r="J535" s="1">
        <v>7</v>
      </c>
      <c r="K535" s="2">
        <v>134</v>
      </c>
      <c r="L535" s="5">
        <v>938</v>
      </c>
      <c r="M535" s="5">
        <v>300.81</v>
      </c>
      <c r="N535" s="1" t="s">
        <v>21</v>
      </c>
      <c r="O535" s="1" t="s">
        <v>90</v>
      </c>
      <c r="P535" s="1" t="str">
        <f t="shared" si="8"/>
        <v>Low Value</v>
      </c>
    </row>
    <row r="536" spans="1:16" x14ac:dyDescent="0.35">
      <c r="A536" s="3" t="s">
        <v>940</v>
      </c>
      <c r="B536" s="4">
        <v>45741</v>
      </c>
      <c r="C536" s="1" t="s">
        <v>857</v>
      </c>
      <c r="D536" s="1" t="s">
        <v>858</v>
      </c>
      <c r="E536" s="1" t="s">
        <v>101</v>
      </c>
      <c r="F536" s="1" t="s">
        <v>86</v>
      </c>
      <c r="G536" s="1" t="s">
        <v>177</v>
      </c>
      <c r="H536" s="1" t="s">
        <v>178</v>
      </c>
      <c r="I536" s="1" t="s">
        <v>20</v>
      </c>
      <c r="J536" s="1">
        <v>7</v>
      </c>
      <c r="K536" s="2">
        <v>2499</v>
      </c>
      <c r="L536" s="5">
        <v>16618.349999999999</v>
      </c>
      <c r="M536" s="5">
        <v>4663.7</v>
      </c>
      <c r="N536" s="1" t="s">
        <v>113</v>
      </c>
      <c r="O536" s="1" t="s">
        <v>22</v>
      </c>
      <c r="P536" s="1" t="str">
        <f t="shared" si="8"/>
        <v>High Value</v>
      </c>
    </row>
    <row r="537" spans="1:16" x14ac:dyDescent="0.35">
      <c r="A537" s="3" t="s">
        <v>941</v>
      </c>
      <c r="B537" s="4">
        <v>45718</v>
      </c>
      <c r="C537" s="1" t="s">
        <v>338</v>
      </c>
      <c r="D537" s="1" t="s">
        <v>339</v>
      </c>
      <c r="E537" s="1" t="s">
        <v>236</v>
      </c>
      <c r="F537" s="1" t="s">
        <v>86</v>
      </c>
      <c r="G537" s="1" t="s">
        <v>63</v>
      </c>
      <c r="H537" s="1" t="s">
        <v>64</v>
      </c>
      <c r="I537" s="1" t="s">
        <v>20</v>
      </c>
      <c r="J537" s="1">
        <v>5</v>
      </c>
      <c r="K537" s="2">
        <v>539</v>
      </c>
      <c r="L537" s="5">
        <v>2425.5</v>
      </c>
      <c r="M537" s="5">
        <v>556.6</v>
      </c>
      <c r="N537" s="1" t="s">
        <v>113</v>
      </c>
      <c r="O537" s="1" t="s">
        <v>22</v>
      </c>
      <c r="P537" s="1" t="str">
        <f t="shared" si="8"/>
        <v>Low Value</v>
      </c>
    </row>
    <row r="538" spans="1:16" x14ac:dyDescent="0.35">
      <c r="A538" s="3" t="s">
        <v>942</v>
      </c>
      <c r="B538" s="4">
        <v>45969</v>
      </c>
      <c r="C538" s="1" t="s">
        <v>143</v>
      </c>
      <c r="D538" s="1" t="s">
        <v>144</v>
      </c>
      <c r="E538" s="1" t="s">
        <v>141</v>
      </c>
      <c r="F538" s="1" t="s">
        <v>69</v>
      </c>
      <c r="G538" s="1" t="s">
        <v>161</v>
      </c>
      <c r="H538" s="1" t="s">
        <v>162</v>
      </c>
      <c r="I538" s="1" t="s">
        <v>37</v>
      </c>
      <c r="J538" s="1">
        <v>8</v>
      </c>
      <c r="K538" s="2">
        <v>2299</v>
      </c>
      <c r="L538" s="5">
        <v>16552.8</v>
      </c>
      <c r="M538" s="5">
        <v>3595.48</v>
      </c>
      <c r="N538" s="1" t="s">
        <v>21</v>
      </c>
      <c r="O538" s="1" t="s">
        <v>22</v>
      </c>
      <c r="P538" s="1" t="str">
        <f t="shared" si="8"/>
        <v>High Value</v>
      </c>
    </row>
    <row r="539" spans="1:16" x14ac:dyDescent="0.35">
      <c r="A539" s="3" t="s">
        <v>943</v>
      </c>
      <c r="B539" s="4">
        <v>45938</v>
      </c>
      <c r="C539" s="1" t="s">
        <v>476</v>
      </c>
      <c r="D539" s="1" t="s">
        <v>477</v>
      </c>
      <c r="E539" s="1" t="s">
        <v>80</v>
      </c>
      <c r="F539" s="1" t="s">
        <v>81</v>
      </c>
      <c r="G539" s="1" t="s">
        <v>161</v>
      </c>
      <c r="H539" s="1" t="s">
        <v>162</v>
      </c>
      <c r="I539" s="1" t="s">
        <v>37</v>
      </c>
      <c r="J539" s="1">
        <v>1</v>
      </c>
      <c r="K539" s="2">
        <v>2299</v>
      </c>
      <c r="L539" s="5">
        <v>2299</v>
      </c>
      <c r="M539" s="5">
        <v>303.73</v>
      </c>
      <c r="N539" s="1" t="s">
        <v>59</v>
      </c>
      <c r="O539" s="1" t="s">
        <v>22</v>
      </c>
      <c r="P539" s="1" t="str">
        <f t="shared" si="8"/>
        <v>Low Value</v>
      </c>
    </row>
    <row r="540" spans="1:16" x14ac:dyDescent="0.35">
      <c r="A540" s="3" t="s">
        <v>944</v>
      </c>
      <c r="B540" s="4">
        <v>45999</v>
      </c>
      <c r="C540" s="1" t="s">
        <v>523</v>
      </c>
      <c r="D540" s="1" t="s">
        <v>306</v>
      </c>
      <c r="E540" s="1" t="s">
        <v>49</v>
      </c>
      <c r="F540" s="1" t="s">
        <v>49</v>
      </c>
      <c r="G540" s="1" t="s">
        <v>42</v>
      </c>
      <c r="H540" s="1" t="s">
        <v>43</v>
      </c>
      <c r="I540" s="1" t="s">
        <v>44</v>
      </c>
      <c r="J540" s="1">
        <v>2</v>
      </c>
      <c r="K540" s="2">
        <v>809</v>
      </c>
      <c r="L540" s="5">
        <v>1618</v>
      </c>
      <c r="M540" s="5">
        <v>342.58</v>
      </c>
      <c r="N540" s="1" t="s">
        <v>45</v>
      </c>
      <c r="O540" s="1" t="s">
        <v>22</v>
      </c>
      <c r="P540" s="1" t="str">
        <f t="shared" si="8"/>
        <v>Low Value</v>
      </c>
    </row>
    <row r="541" spans="1:16" x14ac:dyDescent="0.35">
      <c r="A541" s="3" t="s">
        <v>945</v>
      </c>
      <c r="B541" s="4">
        <v>45970</v>
      </c>
      <c r="C541" s="1" t="s">
        <v>14</v>
      </c>
      <c r="D541" s="1" t="s">
        <v>15</v>
      </c>
      <c r="E541" s="1" t="s">
        <v>80</v>
      </c>
      <c r="F541" s="1" t="s">
        <v>81</v>
      </c>
      <c r="G541" s="1" t="s">
        <v>198</v>
      </c>
      <c r="H541" s="1" t="s">
        <v>199</v>
      </c>
      <c r="I541" s="1" t="s">
        <v>37</v>
      </c>
      <c r="J541" s="1">
        <v>8</v>
      </c>
      <c r="K541" s="2">
        <v>769</v>
      </c>
      <c r="L541" s="5">
        <v>5229.2</v>
      </c>
      <c r="M541" s="5">
        <v>1041.8699999999999</v>
      </c>
      <c r="N541" s="1" t="s">
        <v>89</v>
      </c>
      <c r="O541" s="1" t="s">
        <v>22</v>
      </c>
      <c r="P541" s="1" t="str">
        <f t="shared" si="8"/>
        <v>Medium Value</v>
      </c>
    </row>
    <row r="542" spans="1:16" x14ac:dyDescent="0.35">
      <c r="A542" s="3" t="s">
        <v>946</v>
      </c>
      <c r="B542" s="4">
        <v>45823</v>
      </c>
      <c r="C542" s="1" t="s">
        <v>538</v>
      </c>
      <c r="D542" s="1" t="s">
        <v>539</v>
      </c>
      <c r="E542" s="1" t="s">
        <v>145</v>
      </c>
      <c r="F542" s="1" t="s">
        <v>0</v>
      </c>
      <c r="G542" s="1" t="s">
        <v>182</v>
      </c>
      <c r="H542" s="1" t="s">
        <v>183</v>
      </c>
      <c r="I542" s="1" t="s">
        <v>20</v>
      </c>
      <c r="J542" s="1">
        <v>7</v>
      </c>
      <c r="K542" s="2">
        <v>1889</v>
      </c>
      <c r="L542" s="5">
        <v>13223</v>
      </c>
      <c r="M542" s="5">
        <v>2438.63</v>
      </c>
      <c r="N542" s="1" t="s">
        <v>45</v>
      </c>
      <c r="O542" s="1" t="s">
        <v>22</v>
      </c>
      <c r="P542" s="1" t="str">
        <f t="shared" si="8"/>
        <v>High Value</v>
      </c>
    </row>
    <row r="543" spans="1:16" x14ac:dyDescent="0.35">
      <c r="A543" s="3" t="s">
        <v>947</v>
      </c>
      <c r="B543" s="4">
        <v>45826</v>
      </c>
      <c r="C543" s="1" t="s">
        <v>273</v>
      </c>
      <c r="D543" s="1" t="s">
        <v>274</v>
      </c>
      <c r="E543" s="1" t="s">
        <v>75</v>
      </c>
      <c r="F543" s="1" t="s">
        <v>76</v>
      </c>
      <c r="G543" s="1" t="s">
        <v>213</v>
      </c>
      <c r="H543" s="1" t="s">
        <v>214</v>
      </c>
      <c r="I543" s="1" t="s">
        <v>107</v>
      </c>
      <c r="J543" s="1">
        <v>4</v>
      </c>
      <c r="K543" s="2">
        <v>2089</v>
      </c>
      <c r="L543" s="5">
        <v>8356</v>
      </c>
      <c r="M543" s="5">
        <v>2127.87</v>
      </c>
      <c r="N543" s="1" t="s">
        <v>89</v>
      </c>
      <c r="O543" s="1" t="s">
        <v>22</v>
      </c>
      <c r="P543" s="1" t="str">
        <f t="shared" si="8"/>
        <v>Medium Value</v>
      </c>
    </row>
    <row r="544" spans="1:16" x14ac:dyDescent="0.35">
      <c r="A544" s="3" t="s">
        <v>948</v>
      </c>
      <c r="B544" s="4">
        <v>45928</v>
      </c>
      <c r="C544" s="1" t="s">
        <v>730</v>
      </c>
      <c r="D544" s="1" t="s">
        <v>731</v>
      </c>
      <c r="E544" s="1" t="s">
        <v>16</v>
      </c>
      <c r="F544" s="1" t="s">
        <v>17</v>
      </c>
      <c r="G544" s="1" t="s">
        <v>131</v>
      </c>
      <c r="H544" s="1" t="s">
        <v>132</v>
      </c>
      <c r="I544" s="1" t="s">
        <v>44</v>
      </c>
      <c r="J544" s="1">
        <v>5</v>
      </c>
      <c r="K544" s="2">
        <v>549</v>
      </c>
      <c r="L544" s="5">
        <v>2333.25</v>
      </c>
      <c r="M544" s="5">
        <v>715.18</v>
      </c>
      <c r="N544" s="1" t="s">
        <v>59</v>
      </c>
      <c r="O544" s="1" t="s">
        <v>22</v>
      </c>
      <c r="P544" s="1" t="str">
        <f t="shared" si="8"/>
        <v>Low Value</v>
      </c>
    </row>
    <row r="545" spans="1:16" x14ac:dyDescent="0.35">
      <c r="A545" s="3" t="s">
        <v>949</v>
      </c>
      <c r="B545" s="4">
        <v>45839</v>
      </c>
      <c r="C545" s="1" t="s">
        <v>338</v>
      </c>
      <c r="D545" s="1" t="s">
        <v>339</v>
      </c>
      <c r="E545" s="1" t="s">
        <v>16</v>
      </c>
      <c r="F545" s="1" t="s">
        <v>17</v>
      </c>
      <c r="G545" s="1" t="s">
        <v>213</v>
      </c>
      <c r="H545" s="1" t="s">
        <v>214</v>
      </c>
      <c r="I545" s="1" t="s">
        <v>107</v>
      </c>
      <c r="J545" s="1">
        <v>8</v>
      </c>
      <c r="K545" s="2">
        <v>1899</v>
      </c>
      <c r="L545" s="5">
        <v>15192</v>
      </c>
      <c r="M545" s="5">
        <v>4776.46</v>
      </c>
      <c r="N545" s="1" t="s">
        <v>45</v>
      </c>
      <c r="O545" s="1" t="s">
        <v>22</v>
      </c>
      <c r="P545" s="1" t="str">
        <f t="shared" si="8"/>
        <v>High Value</v>
      </c>
    </row>
    <row r="546" spans="1:16" x14ac:dyDescent="0.35">
      <c r="A546" s="3" t="s">
        <v>950</v>
      </c>
      <c r="B546" s="4">
        <v>45658</v>
      </c>
      <c r="C546" s="1" t="s">
        <v>259</v>
      </c>
      <c r="D546" s="1" t="s">
        <v>260</v>
      </c>
      <c r="E546" s="1" t="s">
        <v>166</v>
      </c>
      <c r="F546" s="1" t="s">
        <v>27</v>
      </c>
      <c r="G546" s="1" t="s">
        <v>50</v>
      </c>
      <c r="H546" s="1" t="s">
        <v>51</v>
      </c>
      <c r="I546" s="1" t="s">
        <v>52</v>
      </c>
      <c r="J546" s="1">
        <v>2</v>
      </c>
      <c r="K546" s="2">
        <v>8799</v>
      </c>
      <c r="L546" s="5">
        <v>17598</v>
      </c>
      <c r="M546" s="5">
        <v>5207.32</v>
      </c>
      <c r="N546" s="1" t="s">
        <v>113</v>
      </c>
      <c r="O546" s="1" t="s">
        <v>22</v>
      </c>
      <c r="P546" s="1" t="str">
        <f t="shared" si="8"/>
        <v>High Value</v>
      </c>
    </row>
    <row r="547" spans="1:16" x14ac:dyDescent="0.35">
      <c r="A547" s="3" t="s">
        <v>951</v>
      </c>
      <c r="B547" s="4">
        <v>45837</v>
      </c>
      <c r="C547" s="1" t="s">
        <v>384</v>
      </c>
      <c r="D547" s="1" t="s">
        <v>306</v>
      </c>
      <c r="E547" s="1" t="s">
        <v>236</v>
      </c>
      <c r="F547" s="1" t="s">
        <v>86</v>
      </c>
      <c r="G547" s="1" t="s">
        <v>63</v>
      </c>
      <c r="H547" s="1" t="s">
        <v>64</v>
      </c>
      <c r="I547" s="1" t="s">
        <v>20</v>
      </c>
      <c r="J547" s="1">
        <v>4</v>
      </c>
      <c r="K547" s="2">
        <v>659</v>
      </c>
      <c r="L547" s="5">
        <v>2504.1999999999998</v>
      </c>
      <c r="M547" s="5">
        <v>440.67</v>
      </c>
      <c r="N547" s="1" t="s">
        <v>89</v>
      </c>
      <c r="O547" s="1" t="s">
        <v>22</v>
      </c>
      <c r="P547" s="1" t="str">
        <f t="shared" si="8"/>
        <v>Low Value</v>
      </c>
    </row>
    <row r="548" spans="1:16" x14ac:dyDescent="0.35">
      <c r="A548" s="3" t="s">
        <v>952</v>
      </c>
      <c r="B548" s="4">
        <v>45939</v>
      </c>
      <c r="C548" s="1" t="s">
        <v>704</v>
      </c>
      <c r="D548" s="1" t="s">
        <v>705</v>
      </c>
      <c r="E548" s="1" t="s">
        <v>166</v>
      </c>
      <c r="F548" s="1" t="s">
        <v>27</v>
      </c>
      <c r="G548" s="1" t="s">
        <v>120</v>
      </c>
      <c r="H548" s="1" t="s">
        <v>121</v>
      </c>
      <c r="I548" s="1" t="s">
        <v>20</v>
      </c>
      <c r="J548" s="1">
        <v>6</v>
      </c>
      <c r="K548" s="2">
        <v>1499</v>
      </c>
      <c r="L548" s="5">
        <v>8094.6</v>
      </c>
      <c r="M548" s="5">
        <v>2261.37</v>
      </c>
      <c r="N548" s="1" t="s">
        <v>21</v>
      </c>
      <c r="O548" s="1" t="s">
        <v>53</v>
      </c>
      <c r="P548" s="1" t="str">
        <f t="shared" si="8"/>
        <v>Medium Value</v>
      </c>
    </row>
    <row r="549" spans="1:16" x14ac:dyDescent="0.35">
      <c r="A549" s="3" t="s">
        <v>953</v>
      </c>
      <c r="B549" s="4">
        <v>45757</v>
      </c>
      <c r="C549" s="1" t="s">
        <v>419</v>
      </c>
      <c r="D549" s="1" t="s">
        <v>420</v>
      </c>
      <c r="E549" s="1" t="s">
        <v>111</v>
      </c>
      <c r="F549" s="1" t="s">
        <v>112</v>
      </c>
      <c r="G549" s="1" t="s">
        <v>105</v>
      </c>
      <c r="H549" s="1" t="s">
        <v>106</v>
      </c>
      <c r="I549" s="1" t="s">
        <v>107</v>
      </c>
      <c r="J549" s="1">
        <v>8</v>
      </c>
      <c r="K549" s="2">
        <v>899</v>
      </c>
      <c r="L549" s="5">
        <v>5753.6</v>
      </c>
      <c r="M549" s="5">
        <v>862.27</v>
      </c>
      <c r="N549" s="1" t="s">
        <v>45</v>
      </c>
      <c r="O549" s="1" t="s">
        <v>22</v>
      </c>
      <c r="P549" s="1" t="str">
        <f t="shared" si="8"/>
        <v>Medium Value</v>
      </c>
    </row>
    <row r="550" spans="1:16" x14ac:dyDescent="0.35">
      <c r="A550" s="3" t="s">
        <v>954</v>
      </c>
      <c r="B550" s="4">
        <v>45829</v>
      </c>
      <c r="C550" s="1" t="s">
        <v>175</v>
      </c>
      <c r="D550" s="1" t="s">
        <v>176</v>
      </c>
      <c r="E550" s="1" t="s">
        <v>75</v>
      </c>
      <c r="F550" s="1" t="s">
        <v>76</v>
      </c>
      <c r="G550" s="1" t="s">
        <v>177</v>
      </c>
      <c r="H550" s="1" t="s">
        <v>178</v>
      </c>
      <c r="I550" s="1" t="s">
        <v>20</v>
      </c>
      <c r="J550" s="1">
        <v>5</v>
      </c>
      <c r="K550" s="2">
        <v>2624</v>
      </c>
      <c r="L550" s="5">
        <v>10496</v>
      </c>
      <c r="M550" s="5">
        <v>2825.56</v>
      </c>
      <c r="N550" s="1" t="s">
        <v>21</v>
      </c>
      <c r="O550" s="1" t="s">
        <v>22</v>
      </c>
      <c r="P550" s="1" t="str">
        <f t="shared" si="8"/>
        <v>High Value</v>
      </c>
    </row>
    <row r="551" spans="1:16" x14ac:dyDescent="0.35">
      <c r="A551" s="3" t="s">
        <v>955</v>
      </c>
      <c r="B551" s="4">
        <v>45953</v>
      </c>
      <c r="C551" s="1" t="s">
        <v>826</v>
      </c>
      <c r="D551" s="1" t="s">
        <v>827</v>
      </c>
      <c r="E551" s="1" t="s">
        <v>111</v>
      </c>
      <c r="F551" s="1" t="s">
        <v>112</v>
      </c>
      <c r="G551" s="1" t="s">
        <v>95</v>
      </c>
      <c r="H551" s="1" t="s">
        <v>96</v>
      </c>
      <c r="I551" s="1" t="s">
        <v>97</v>
      </c>
      <c r="J551" s="1">
        <v>2</v>
      </c>
      <c r="K551" s="2">
        <v>249</v>
      </c>
      <c r="L551" s="5">
        <v>473.1</v>
      </c>
      <c r="M551" s="5">
        <v>144.28</v>
      </c>
      <c r="N551" s="1" t="s">
        <v>59</v>
      </c>
      <c r="O551" s="1" t="s">
        <v>53</v>
      </c>
      <c r="P551" s="1" t="str">
        <f t="shared" si="8"/>
        <v>Low Value</v>
      </c>
    </row>
    <row r="552" spans="1:16" x14ac:dyDescent="0.35">
      <c r="A552" s="3" t="s">
        <v>956</v>
      </c>
      <c r="B552" s="4">
        <v>45931</v>
      </c>
      <c r="C552" s="1" t="s">
        <v>170</v>
      </c>
      <c r="D552" s="1" t="s">
        <v>171</v>
      </c>
      <c r="E552" s="1" t="s">
        <v>145</v>
      </c>
      <c r="F552" s="1" t="s">
        <v>0</v>
      </c>
      <c r="G552" s="1" t="s">
        <v>198</v>
      </c>
      <c r="H552" s="1" t="s">
        <v>199</v>
      </c>
      <c r="I552" s="1" t="s">
        <v>37</v>
      </c>
      <c r="J552" s="1">
        <v>2</v>
      </c>
      <c r="K552" s="2">
        <v>699</v>
      </c>
      <c r="L552" s="5">
        <v>1118.4000000000001</v>
      </c>
      <c r="M552" s="5">
        <v>345.27</v>
      </c>
      <c r="N552" s="1" t="s">
        <v>89</v>
      </c>
      <c r="O552" s="1" t="s">
        <v>22</v>
      </c>
      <c r="P552" s="1" t="str">
        <f t="shared" si="8"/>
        <v>Low Value</v>
      </c>
    </row>
    <row r="553" spans="1:16" x14ac:dyDescent="0.35">
      <c r="A553" s="3" t="s">
        <v>957</v>
      </c>
      <c r="B553" s="4">
        <v>45912</v>
      </c>
      <c r="C553" s="1" t="s">
        <v>694</v>
      </c>
      <c r="D553" s="1" t="s">
        <v>695</v>
      </c>
      <c r="E553" s="1" t="s">
        <v>312</v>
      </c>
      <c r="F553" s="1" t="s">
        <v>112</v>
      </c>
      <c r="G553" s="1" t="s">
        <v>50</v>
      </c>
      <c r="H553" s="1" t="s">
        <v>51</v>
      </c>
      <c r="I553" s="1" t="s">
        <v>52</v>
      </c>
      <c r="J553" s="1">
        <v>5</v>
      </c>
      <c r="K553" s="2">
        <v>7999</v>
      </c>
      <c r="L553" s="5">
        <v>33995.75</v>
      </c>
      <c r="M553" s="5">
        <v>6340.55</v>
      </c>
      <c r="N553" s="1" t="s">
        <v>89</v>
      </c>
      <c r="O553" s="1" t="s">
        <v>22</v>
      </c>
      <c r="P553" s="1" t="str">
        <f t="shared" si="8"/>
        <v>High Value</v>
      </c>
    </row>
    <row r="554" spans="1:16" x14ac:dyDescent="0.35">
      <c r="A554" s="3" t="s">
        <v>958</v>
      </c>
      <c r="B554" s="4">
        <v>45761</v>
      </c>
      <c r="C554" s="1" t="s">
        <v>73</v>
      </c>
      <c r="D554" s="1" t="s">
        <v>74</v>
      </c>
      <c r="E554" s="1" t="s">
        <v>172</v>
      </c>
      <c r="F554" s="1" t="s">
        <v>173</v>
      </c>
      <c r="G554" s="1" t="s">
        <v>213</v>
      </c>
      <c r="H554" s="1" t="s">
        <v>214</v>
      </c>
      <c r="I554" s="1" t="s">
        <v>107</v>
      </c>
      <c r="J554" s="1">
        <v>1</v>
      </c>
      <c r="K554" s="2">
        <v>1899</v>
      </c>
      <c r="L554" s="5">
        <v>1614.15</v>
      </c>
      <c r="M554" s="5">
        <v>248.41</v>
      </c>
      <c r="N554" s="1" t="s">
        <v>59</v>
      </c>
      <c r="O554" s="1" t="s">
        <v>90</v>
      </c>
      <c r="P554" s="1" t="str">
        <f t="shared" si="8"/>
        <v>Low Value</v>
      </c>
    </row>
    <row r="555" spans="1:16" x14ac:dyDescent="0.35">
      <c r="A555" s="3" t="s">
        <v>959</v>
      </c>
      <c r="B555" s="4">
        <v>45926</v>
      </c>
      <c r="C555" s="1" t="s">
        <v>362</v>
      </c>
      <c r="D555" s="1" t="s">
        <v>363</v>
      </c>
      <c r="E555" s="1" t="s">
        <v>111</v>
      </c>
      <c r="F555" s="1" t="s">
        <v>112</v>
      </c>
      <c r="G555" s="1" t="s">
        <v>18</v>
      </c>
      <c r="H555" s="1" t="s">
        <v>19</v>
      </c>
      <c r="I555" s="1" t="s">
        <v>20</v>
      </c>
      <c r="J555" s="1">
        <v>2</v>
      </c>
      <c r="K555" s="2">
        <v>4199</v>
      </c>
      <c r="L555" s="5">
        <v>6718.4</v>
      </c>
      <c r="M555" s="5">
        <v>2273.5</v>
      </c>
      <c r="N555" s="1" t="s">
        <v>45</v>
      </c>
      <c r="O555" s="1" t="s">
        <v>22</v>
      </c>
      <c r="P555" s="1" t="str">
        <f t="shared" si="8"/>
        <v>Medium Value</v>
      </c>
    </row>
    <row r="556" spans="1:16" x14ac:dyDescent="0.35">
      <c r="A556" s="3" t="s">
        <v>960</v>
      </c>
      <c r="B556" s="4">
        <v>45856</v>
      </c>
      <c r="C556" s="1" t="s">
        <v>861</v>
      </c>
      <c r="D556" s="1" t="s">
        <v>862</v>
      </c>
      <c r="E556" s="1" t="s">
        <v>94</v>
      </c>
      <c r="F556" s="1" t="s">
        <v>27</v>
      </c>
      <c r="G556" s="1" t="s">
        <v>63</v>
      </c>
      <c r="H556" s="1" t="s">
        <v>64</v>
      </c>
      <c r="I556" s="1" t="s">
        <v>20</v>
      </c>
      <c r="J556" s="1">
        <v>5</v>
      </c>
      <c r="K556" s="2">
        <v>539</v>
      </c>
      <c r="L556" s="5">
        <v>2156</v>
      </c>
      <c r="M556" s="5">
        <v>661</v>
      </c>
      <c r="N556" s="1" t="s">
        <v>89</v>
      </c>
      <c r="O556" s="1" t="s">
        <v>22</v>
      </c>
      <c r="P556" s="1" t="str">
        <f t="shared" si="8"/>
        <v>Low Value</v>
      </c>
    </row>
    <row r="557" spans="1:16" x14ac:dyDescent="0.35">
      <c r="A557" s="3" t="s">
        <v>961</v>
      </c>
      <c r="B557" s="4">
        <v>45710</v>
      </c>
      <c r="C557" s="1" t="s">
        <v>861</v>
      </c>
      <c r="D557" s="1" t="s">
        <v>862</v>
      </c>
      <c r="E557" s="1" t="s">
        <v>49</v>
      </c>
      <c r="F557" s="1" t="s">
        <v>49</v>
      </c>
      <c r="G557" s="1" t="s">
        <v>63</v>
      </c>
      <c r="H557" s="1" t="s">
        <v>64</v>
      </c>
      <c r="I557" s="1" t="s">
        <v>20</v>
      </c>
      <c r="J557" s="1">
        <v>5</v>
      </c>
      <c r="K557" s="2">
        <v>659</v>
      </c>
      <c r="L557" s="5">
        <v>3295</v>
      </c>
      <c r="M557" s="5">
        <v>628.01</v>
      </c>
      <c r="N557" s="1" t="s">
        <v>45</v>
      </c>
      <c r="O557" s="1" t="s">
        <v>22</v>
      </c>
      <c r="P557" s="1" t="str">
        <f t="shared" si="8"/>
        <v>Low Value</v>
      </c>
    </row>
    <row r="558" spans="1:16" x14ac:dyDescent="0.35">
      <c r="A558" s="3" t="s">
        <v>962</v>
      </c>
      <c r="B558" s="4">
        <v>45821</v>
      </c>
      <c r="C558" s="1" t="s">
        <v>156</v>
      </c>
      <c r="D558" s="1" t="s">
        <v>157</v>
      </c>
      <c r="E558" s="1" t="s">
        <v>94</v>
      </c>
      <c r="F558" s="1" t="s">
        <v>27</v>
      </c>
      <c r="G558" s="1" t="s">
        <v>57</v>
      </c>
      <c r="H558" s="1" t="s">
        <v>58</v>
      </c>
      <c r="I558" s="1" t="s">
        <v>44</v>
      </c>
      <c r="J558" s="1">
        <v>3</v>
      </c>
      <c r="K558" s="2">
        <v>399</v>
      </c>
      <c r="L558" s="5">
        <v>1137.1500000000001</v>
      </c>
      <c r="M558" s="5">
        <v>165.09</v>
      </c>
      <c r="N558" s="1" t="s">
        <v>21</v>
      </c>
      <c r="O558" s="1" t="s">
        <v>22</v>
      </c>
      <c r="P558" s="1" t="str">
        <f t="shared" si="8"/>
        <v>Low Value</v>
      </c>
    </row>
    <row r="559" spans="1:16" x14ac:dyDescent="0.35">
      <c r="A559" s="3" t="s">
        <v>963</v>
      </c>
      <c r="B559" s="4">
        <v>45763</v>
      </c>
      <c r="C559" s="1" t="s">
        <v>243</v>
      </c>
      <c r="D559" s="1" t="s">
        <v>244</v>
      </c>
      <c r="E559" s="1" t="s">
        <v>312</v>
      </c>
      <c r="F559" s="1" t="s">
        <v>112</v>
      </c>
      <c r="G559" s="1" t="s">
        <v>254</v>
      </c>
      <c r="H559" s="1" t="s">
        <v>255</v>
      </c>
      <c r="I559" s="1" t="s">
        <v>30</v>
      </c>
      <c r="J559" s="1">
        <v>6</v>
      </c>
      <c r="K559" s="2">
        <v>799</v>
      </c>
      <c r="L559" s="5">
        <v>4794</v>
      </c>
      <c r="M559" s="5">
        <v>1570.14</v>
      </c>
      <c r="N559" s="1" t="s">
        <v>59</v>
      </c>
      <c r="O559" s="1" t="s">
        <v>22</v>
      </c>
      <c r="P559" s="1" t="str">
        <f t="shared" si="8"/>
        <v>Low Value</v>
      </c>
    </row>
    <row r="560" spans="1:16" x14ac:dyDescent="0.35">
      <c r="A560" s="3" t="s">
        <v>964</v>
      </c>
      <c r="B560" s="4">
        <v>45694</v>
      </c>
      <c r="C560" s="1" t="s">
        <v>362</v>
      </c>
      <c r="D560" s="1" t="s">
        <v>363</v>
      </c>
      <c r="E560" s="1" t="s">
        <v>111</v>
      </c>
      <c r="F560" s="1" t="s">
        <v>112</v>
      </c>
      <c r="G560" s="1" t="s">
        <v>254</v>
      </c>
      <c r="H560" s="1" t="s">
        <v>255</v>
      </c>
      <c r="I560" s="1" t="s">
        <v>30</v>
      </c>
      <c r="J560" s="1">
        <v>8</v>
      </c>
      <c r="K560" s="2">
        <v>719</v>
      </c>
      <c r="L560" s="5">
        <v>5752</v>
      </c>
      <c r="M560" s="5">
        <v>726.93</v>
      </c>
      <c r="N560" s="1" t="s">
        <v>89</v>
      </c>
      <c r="O560" s="1" t="s">
        <v>22</v>
      </c>
      <c r="P560" s="1" t="str">
        <f t="shared" si="8"/>
        <v>Medium Value</v>
      </c>
    </row>
    <row r="561" spans="1:16" x14ac:dyDescent="0.35">
      <c r="A561" s="3" t="s">
        <v>965</v>
      </c>
      <c r="B561" s="4">
        <v>45702</v>
      </c>
      <c r="C561" s="1" t="s">
        <v>78</v>
      </c>
      <c r="D561" s="1" t="s">
        <v>79</v>
      </c>
      <c r="E561" s="1" t="s">
        <v>145</v>
      </c>
      <c r="F561" s="1" t="s">
        <v>0</v>
      </c>
      <c r="G561" s="1" t="s">
        <v>198</v>
      </c>
      <c r="H561" s="1" t="s">
        <v>199</v>
      </c>
      <c r="I561" s="1" t="s">
        <v>37</v>
      </c>
      <c r="J561" s="1">
        <v>8</v>
      </c>
      <c r="K561" s="2">
        <v>734</v>
      </c>
      <c r="L561" s="5">
        <v>5578.4</v>
      </c>
      <c r="M561" s="5">
        <v>1052.8499999999999</v>
      </c>
      <c r="N561" s="1" t="s">
        <v>45</v>
      </c>
      <c r="O561" s="1" t="s">
        <v>22</v>
      </c>
      <c r="P561" s="1" t="str">
        <f t="shared" si="8"/>
        <v>Medium Value</v>
      </c>
    </row>
    <row r="562" spans="1:16" x14ac:dyDescent="0.35">
      <c r="A562" s="3" t="s">
        <v>966</v>
      </c>
      <c r="B562" s="4">
        <v>45931</v>
      </c>
      <c r="C562" s="1" t="s">
        <v>629</v>
      </c>
      <c r="D562" s="1" t="s">
        <v>630</v>
      </c>
      <c r="E562" s="1" t="s">
        <v>172</v>
      </c>
      <c r="F562" s="1" t="s">
        <v>173</v>
      </c>
      <c r="G562" s="1" t="s">
        <v>28</v>
      </c>
      <c r="H562" s="1" t="s">
        <v>29</v>
      </c>
      <c r="I562" s="1" t="s">
        <v>30</v>
      </c>
      <c r="J562" s="1">
        <v>3</v>
      </c>
      <c r="K562" s="2">
        <v>1439</v>
      </c>
      <c r="L562" s="5">
        <v>3453.6</v>
      </c>
      <c r="M562" s="5">
        <v>770.22</v>
      </c>
      <c r="N562" s="1" t="s">
        <v>113</v>
      </c>
      <c r="O562" s="1" t="s">
        <v>22</v>
      </c>
      <c r="P562" s="1" t="str">
        <f t="shared" si="8"/>
        <v>Low Value</v>
      </c>
    </row>
    <row r="563" spans="1:16" x14ac:dyDescent="0.35">
      <c r="A563" s="3" t="s">
        <v>967</v>
      </c>
      <c r="B563" s="4">
        <v>46021</v>
      </c>
      <c r="C563" s="1" t="s">
        <v>452</v>
      </c>
      <c r="D563" s="1" t="s">
        <v>453</v>
      </c>
      <c r="E563" s="1" t="s">
        <v>16</v>
      </c>
      <c r="F563" s="1" t="s">
        <v>17</v>
      </c>
      <c r="G563" s="1" t="s">
        <v>35</v>
      </c>
      <c r="H563" s="1" t="s">
        <v>36</v>
      </c>
      <c r="I563" s="1" t="s">
        <v>37</v>
      </c>
      <c r="J563" s="1">
        <v>4</v>
      </c>
      <c r="K563" s="2">
        <v>1299</v>
      </c>
      <c r="L563" s="5">
        <v>4416.6000000000004</v>
      </c>
      <c r="M563" s="5">
        <v>780.73</v>
      </c>
      <c r="N563" s="1" t="s">
        <v>59</v>
      </c>
      <c r="O563" s="1" t="s">
        <v>22</v>
      </c>
      <c r="P563" s="1" t="str">
        <f t="shared" si="8"/>
        <v>Low Value</v>
      </c>
    </row>
    <row r="564" spans="1:16" x14ac:dyDescent="0.35">
      <c r="A564" s="3" t="s">
        <v>968</v>
      </c>
      <c r="B564" s="4">
        <v>45998</v>
      </c>
      <c r="C564" s="1" t="s">
        <v>419</v>
      </c>
      <c r="D564" s="1" t="s">
        <v>420</v>
      </c>
      <c r="E564" s="1" t="s">
        <v>111</v>
      </c>
      <c r="F564" s="1" t="s">
        <v>112</v>
      </c>
      <c r="G564" s="1" t="s">
        <v>50</v>
      </c>
      <c r="H564" s="1" t="s">
        <v>51</v>
      </c>
      <c r="I564" s="1" t="s">
        <v>52</v>
      </c>
      <c r="J564" s="1">
        <v>8</v>
      </c>
      <c r="K564" s="2">
        <v>7199</v>
      </c>
      <c r="L564" s="5">
        <v>57592</v>
      </c>
      <c r="M564" s="5">
        <v>12933.64</v>
      </c>
      <c r="N564" s="1" t="s">
        <v>59</v>
      </c>
      <c r="O564" s="1" t="s">
        <v>22</v>
      </c>
      <c r="P564" s="1" t="str">
        <f t="shared" si="8"/>
        <v>High Value</v>
      </c>
    </row>
    <row r="565" spans="1:16" x14ac:dyDescent="0.35">
      <c r="A565" s="3" t="s">
        <v>969</v>
      </c>
      <c r="B565" s="4">
        <v>45802</v>
      </c>
      <c r="C565" s="1" t="s">
        <v>365</v>
      </c>
      <c r="D565" s="1" t="s">
        <v>366</v>
      </c>
      <c r="E565" s="1" t="s">
        <v>85</v>
      </c>
      <c r="F565" s="1" t="s">
        <v>86</v>
      </c>
      <c r="G565" s="1" t="s">
        <v>213</v>
      </c>
      <c r="H565" s="1" t="s">
        <v>214</v>
      </c>
      <c r="I565" s="1" t="s">
        <v>107</v>
      </c>
      <c r="J565" s="1">
        <v>2</v>
      </c>
      <c r="K565" s="2">
        <v>1899</v>
      </c>
      <c r="L565" s="5">
        <v>3038.4</v>
      </c>
      <c r="M565" s="5">
        <v>897.2</v>
      </c>
      <c r="N565" s="1" t="s">
        <v>59</v>
      </c>
      <c r="O565" s="1" t="s">
        <v>22</v>
      </c>
      <c r="P565" s="1" t="str">
        <f t="shared" si="8"/>
        <v>Low Value</v>
      </c>
    </row>
    <row r="566" spans="1:16" x14ac:dyDescent="0.35">
      <c r="A566" s="3" t="s">
        <v>970</v>
      </c>
      <c r="B566" s="4">
        <v>45812</v>
      </c>
      <c r="C566" s="1" t="s">
        <v>220</v>
      </c>
      <c r="D566" s="1" t="s">
        <v>221</v>
      </c>
      <c r="E566" s="1" t="s">
        <v>172</v>
      </c>
      <c r="F566" s="1" t="s">
        <v>173</v>
      </c>
      <c r="G566" s="1" t="s">
        <v>262</v>
      </c>
      <c r="H566" s="1" t="s">
        <v>263</v>
      </c>
      <c r="I566" s="1" t="s">
        <v>97</v>
      </c>
      <c r="J566" s="1">
        <v>7</v>
      </c>
      <c r="K566" s="2">
        <v>149</v>
      </c>
      <c r="L566" s="5">
        <v>886.55</v>
      </c>
      <c r="M566" s="5">
        <v>153.91999999999999</v>
      </c>
      <c r="N566" s="1" t="s">
        <v>45</v>
      </c>
      <c r="O566" s="1" t="s">
        <v>53</v>
      </c>
      <c r="P566" s="1" t="str">
        <f t="shared" si="8"/>
        <v>Low Value</v>
      </c>
    </row>
    <row r="567" spans="1:16" x14ac:dyDescent="0.35">
      <c r="A567" s="3" t="s">
        <v>971</v>
      </c>
      <c r="B567" s="4">
        <v>45691</v>
      </c>
      <c r="C567" s="1" t="s">
        <v>265</v>
      </c>
      <c r="D567" s="1" t="s">
        <v>266</v>
      </c>
      <c r="E567" s="1" t="s">
        <v>236</v>
      </c>
      <c r="F567" s="1" t="s">
        <v>86</v>
      </c>
      <c r="G567" s="1" t="s">
        <v>28</v>
      </c>
      <c r="H567" s="1" t="s">
        <v>29</v>
      </c>
      <c r="I567" s="1" t="s">
        <v>30</v>
      </c>
      <c r="J567" s="1">
        <v>7</v>
      </c>
      <c r="K567" s="2">
        <v>1599</v>
      </c>
      <c r="L567" s="5">
        <v>9514.0499999999993</v>
      </c>
      <c r="M567" s="5">
        <v>2789.63</v>
      </c>
      <c r="N567" s="1" t="s">
        <v>21</v>
      </c>
      <c r="O567" s="1" t="s">
        <v>22</v>
      </c>
      <c r="P567" s="1" t="str">
        <f t="shared" si="8"/>
        <v>Medium Value</v>
      </c>
    </row>
    <row r="568" spans="1:16" x14ac:dyDescent="0.35">
      <c r="A568" s="3" t="s">
        <v>972</v>
      </c>
      <c r="B568" s="4">
        <v>45997</v>
      </c>
      <c r="C568" s="1" t="s">
        <v>123</v>
      </c>
      <c r="D568" s="1" t="s">
        <v>124</v>
      </c>
      <c r="E568" s="1" t="s">
        <v>34</v>
      </c>
      <c r="F568" s="1" t="s">
        <v>27</v>
      </c>
      <c r="G568" s="1" t="s">
        <v>28</v>
      </c>
      <c r="H568" s="1" t="s">
        <v>29</v>
      </c>
      <c r="I568" s="1" t="s">
        <v>30</v>
      </c>
      <c r="J568" s="1">
        <v>8</v>
      </c>
      <c r="K568" s="2">
        <v>1439</v>
      </c>
      <c r="L568" s="5">
        <v>9785.2000000000007</v>
      </c>
      <c r="M568" s="5">
        <v>2457.42</v>
      </c>
      <c r="N568" s="1" t="s">
        <v>59</v>
      </c>
      <c r="O568" s="1" t="s">
        <v>22</v>
      </c>
      <c r="P568" s="1" t="str">
        <f t="shared" si="8"/>
        <v>Medium Value</v>
      </c>
    </row>
    <row r="569" spans="1:16" x14ac:dyDescent="0.35">
      <c r="A569" s="3" t="s">
        <v>973</v>
      </c>
      <c r="B569" s="4">
        <v>45748</v>
      </c>
      <c r="C569" s="1" t="s">
        <v>511</v>
      </c>
      <c r="D569" s="1" t="s">
        <v>512</v>
      </c>
      <c r="E569" s="1" t="s">
        <v>145</v>
      </c>
      <c r="F569" s="1" t="s">
        <v>0</v>
      </c>
      <c r="G569" s="1" t="s">
        <v>182</v>
      </c>
      <c r="H569" s="1" t="s">
        <v>183</v>
      </c>
      <c r="I569" s="1" t="s">
        <v>20</v>
      </c>
      <c r="J569" s="1">
        <v>2</v>
      </c>
      <c r="K569" s="2">
        <v>1979</v>
      </c>
      <c r="L569" s="5">
        <v>3364.3</v>
      </c>
      <c r="M569" s="5">
        <v>974.62</v>
      </c>
      <c r="N569" s="1" t="s">
        <v>113</v>
      </c>
      <c r="O569" s="1" t="s">
        <v>22</v>
      </c>
      <c r="P569" s="1" t="str">
        <f t="shared" si="8"/>
        <v>Low Value</v>
      </c>
    </row>
    <row r="570" spans="1:16" x14ac:dyDescent="0.35">
      <c r="A570" s="3" t="s">
        <v>974</v>
      </c>
      <c r="B570" s="4">
        <v>45996</v>
      </c>
      <c r="C570" s="1" t="s">
        <v>330</v>
      </c>
      <c r="D570" s="1" t="s">
        <v>287</v>
      </c>
      <c r="E570" s="1" t="s">
        <v>34</v>
      </c>
      <c r="F570" s="1" t="s">
        <v>27</v>
      </c>
      <c r="G570" s="1" t="s">
        <v>161</v>
      </c>
      <c r="H570" s="1" t="s">
        <v>162</v>
      </c>
      <c r="I570" s="1" t="s">
        <v>37</v>
      </c>
      <c r="J570" s="1">
        <v>3</v>
      </c>
      <c r="K570" s="2">
        <v>2414</v>
      </c>
      <c r="L570" s="5">
        <v>5793.6</v>
      </c>
      <c r="M570" s="5">
        <v>1727.45</v>
      </c>
      <c r="N570" s="1" t="s">
        <v>45</v>
      </c>
      <c r="O570" s="1" t="s">
        <v>22</v>
      </c>
      <c r="P570" s="1" t="str">
        <f t="shared" si="8"/>
        <v>Medium Value</v>
      </c>
    </row>
    <row r="571" spans="1:16" x14ac:dyDescent="0.35">
      <c r="A571" s="3" t="s">
        <v>975</v>
      </c>
      <c r="B571" s="4">
        <v>45930</v>
      </c>
      <c r="C571" s="1" t="s">
        <v>735</v>
      </c>
      <c r="D571" s="1" t="s">
        <v>736</v>
      </c>
      <c r="E571" s="1" t="s">
        <v>145</v>
      </c>
      <c r="F571" s="1" t="s">
        <v>0</v>
      </c>
      <c r="G571" s="1" t="s">
        <v>131</v>
      </c>
      <c r="H571" s="1" t="s">
        <v>132</v>
      </c>
      <c r="I571" s="1" t="s">
        <v>44</v>
      </c>
      <c r="J571" s="1">
        <v>8</v>
      </c>
      <c r="K571" s="2">
        <v>549</v>
      </c>
      <c r="L571" s="5">
        <v>4392</v>
      </c>
      <c r="M571" s="5">
        <v>1185.55</v>
      </c>
      <c r="N571" s="1" t="s">
        <v>59</v>
      </c>
      <c r="O571" s="1" t="s">
        <v>22</v>
      </c>
      <c r="P571" s="1" t="str">
        <f t="shared" si="8"/>
        <v>Low Value</v>
      </c>
    </row>
    <row r="572" spans="1:16" x14ac:dyDescent="0.35">
      <c r="A572" s="3" t="s">
        <v>976</v>
      </c>
      <c r="B572" s="4">
        <v>45813</v>
      </c>
      <c r="C572" s="1" t="s">
        <v>118</v>
      </c>
      <c r="D572" s="1" t="s">
        <v>119</v>
      </c>
      <c r="E572" s="1" t="s">
        <v>312</v>
      </c>
      <c r="F572" s="1" t="s">
        <v>112</v>
      </c>
      <c r="G572" s="1" t="s">
        <v>182</v>
      </c>
      <c r="H572" s="1" t="s">
        <v>183</v>
      </c>
      <c r="I572" s="1" t="s">
        <v>20</v>
      </c>
      <c r="J572" s="1">
        <v>1</v>
      </c>
      <c r="K572" s="2">
        <v>1889</v>
      </c>
      <c r="L572" s="5">
        <v>1605.65</v>
      </c>
      <c r="M572" s="5">
        <v>335.46</v>
      </c>
      <c r="N572" s="1" t="s">
        <v>45</v>
      </c>
      <c r="O572" s="1" t="s">
        <v>136</v>
      </c>
      <c r="P572" s="1" t="str">
        <f t="shared" si="8"/>
        <v>Low Value</v>
      </c>
    </row>
    <row r="573" spans="1:16" x14ac:dyDescent="0.35">
      <c r="A573" s="3" t="s">
        <v>977</v>
      </c>
      <c r="B573" s="4">
        <v>45847</v>
      </c>
      <c r="C573" s="1" t="s">
        <v>606</v>
      </c>
      <c r="D573" s="1" t="s">
        <v>74</v>
      </c>
      <c r="E573" s="1" t="s">
        <v>26</v>
      </c>
      <c r="F573" s="1" t="s">
        <v>27</v>
      </c>
      <c r="G573" s="1" t="s">
        <v>63</v>
      </c>
      <c r="H573" s="1" t="s">
        <v>64</v>
      </c>
      <c r="I573" s="1" t="s">
        <v>20</v>
      </c>
      <c r="J573" s="1">
        <v>6</v>
      </c>
      <c r="K573" s="2">
        <v>539</v>
      </c>
      <c r="L573" s="5">
        <v>3072.3</v>
      </c>
      <c r="M573" s="5">
        <v>953.79</v>
      </c>
      <c r="N573" s="1" t="s">
        <v>45</v>
      </c>
      <c r="O573" s="1" t="s">
        <v>22</v>
      </c>
      <c r="P573" s="1" t="str">
        <f t="shared" si="8"/>
        <v>Low Value</v>
      </c>
    </row>
    <row r="574" spans="1:16" x14ac:dyDescent="0.35">
      <c r="A574" s="3" t="s">
        <v>978</v>
      </c>
      <c r="B574" s="4">
        <v>45859</v>
      </c>
      <c r="C574" s="1" t="s">
        <v>234</v>
      </c>
      <c r="D574" s="1" t="s">
        <v>235</v>
      </c>
      <c r="E574" s="1" t="s">
        <v>111</v>
      </c>
      <c r="F574" s="1" t="s">
        <v>112</v>
      </c>
      <c r="G574" s="1" t="s">
        <v>262</v>
      </c>
      <c r="H574" s="1" t="s">
        <v>263</v>
      </c>
      <c r="I574" s="1" t="s">
        <v>97</v>
      </c>
      <c r="J574" s="1">
        <v>7</v>
      </c>
      <c r="K574" s="2">
        <v>149</v>
      </c>
      <c r="L574" s="5">
        <v>938.7</v>
      </c>
      <c r="M574" s="5">
        <v>225.22</v>
      </c>
      <c r="N574" s="1" t="s">
        <v>45</v>
      </c>
      <c r="O574" s="1" t="s">
        <v>22</v>
      </c>
      <c r="P574" s="1" t="str">
        <f t="shared" si="8"/>
        <v>Low Value</v>
      </c>
    </row>
    <row r="575" spans="1:16" x14ac:dyDescent="0.35">
      <c r="A575" s="3" t="s">
        <v>979</v>
      </c>
      <c r="B575" s="4">
        <v>45942</v>
      </c>
      <c r="C575" s="1" t="s">
        <v>159</v>
      </c>
      <c r="D575" s="1" t="s">
        <v>160</v>
      </c>
      <c r="E575" s="1" t="s">
        <v>312</v>
      </c>
      <c r="F575" s="1" t="s">
        <v>112</v>
      </c>
      <c r="G575" s="1" t="s">
        <v>87</v>
      </c>
      <c r="H575" s="1" t="s">
        <v>88</v>
      </c>
      <c r="I575" s="1" t="s">
        <v>52</v>
      </c>
      <c r="J575" s="1">
        <v>3</v>
      </c>
      <c r="K575" s="2">
        <v>6499</v>
      </c>
      <c r="L575" s="5">
        <v>15597.6</v>
      </c>
      <c r="M575" s="5">
        <v>2302.5300000000002</v>
      </c>
      <c r="N575" s="1" t="s">
        <v>89</v>
      </c>
      <c r="O575" s="1" t="s">
        <v>22</v>
      </c>
      <c r="P575" s="1" t="str">
        <f t="shared" si="8"/>
        <v>High Value</v>
      </c>
    </row>
    <row r="576" spans="1:16" x14ac:dyDescent="0.35">
      <c r="A576" s="3" t="s">
        <v>980</v>
      </c>
      <c r="B576" s="4">
        <v>45731</v>
      </c>
      <c r="C576" s="1" t="s">
        <v>676</v>
      </c>
      <c r="D576" s="1" t="s">
        <v>677</v>
      </c>
      <c r="E576" s="1" t="s">
        <v>75</v>
      </c>
      <c r="F576" s="1" t="s">
        <v>76</v>
      </c>
      <c r="G576" s="1" t="s">
        <v>18</v>
      </c>
      <c r="H576" s="1" t="s">
        <v>19</v>
      </c>
      <c r="I576" s="1" t="s">
        <v>20</v>
      </c>
      <c r="J576" s="1">
        <v>2</v>
      </c>
      <c r="K576" s="2">
        <v>3999</v>
      </c>
      <c r="L576" s="5">
        <v>6398.4</v>
      </c>
      <c r="M576" s="5">
        <v>1902.29</v>
      </c>
      <c r="N576" s="1" t="s">
        <v>113</v>
      </c>
      <c r="O576" s="1" t="s">
        <v>90</v>
      </c>
      <c r="P576" s="1" t="str">
        <f t="shared" si="8"/>
        <v>Medium Value</v>
      </c>
    </row>
    <row r="577" spans="1:16" x14ac:dyDescent="0.35">
      <c r="A577" s="3" t="s">
        <v>981</v>
      </c>
      <c r="B577" s="4">
        <v>45967</v>
      </c>
      <c r="C577" s="1" t="s">
        <v>407</v>
      </c>
      <c r="D577" s="1" t="s">
        <v>15</v>
      </c>
      <c r="E577" s="1" t="s">
        <v>101</v>
      </c>
      <c r="F577" s="1" t="s">
        <v>86</v>
      </c>
      <c r="G577" s="1" t="s">
        <v>50</v>
      </c>
      <c r="H577" s="1" t="s">
        <v>51</v>
      </c>
      <c r="I577" s="1" t="s">
        <v>52</v>
      </c>
      <c r="J577" s="1">
        <v>7</v>
      </c>
      <c r="K577" s="2">
        <v>8399</v>
      </c>
      <c r="L577" s="5">
        <v>52913.7</v>
      </c>
      <c r="M577" s="5">
        <v>10828.11</v>
      </c>
      <c r="N577" s="1" t="s">
        <v>45</v>
      </c>
      <c r="O577" s="1" t="s">
        <v>22</v>
      </c>
      <c r="P577" s="1" t="str">
        <f t="shared" si="8"/>
        <v>High Value</v>
      </c>
    </row>
    <row r="578" spans="1:16" x14ac:dyDescent="0.35">
      <c r="A578" s="3" t="s">
        <v>982</v>
      </c>
      <c r="B578" s="4">
        <v>45661</v>
      </c>
      <c r="C578" s="1" t="s">
        <v>523</v>
      </c>
      <c r="D578" s="1" t="s">
        <v>306</v>
      </c>
      <c r="E578" s="1" t="s">
        <v>16</v>
      </c>
      <c r="F578" s="1" t="s">
        <v>17</v>
      </c>
      <c r="G578" s="1" t="s">
        <v>35</v>
      </c>
      <c r="H578" s="1" t="s">
        <v>36</v>
      </c>
      <c r="I578" s="1" t="s">
        <v>37</v>
      </c>
      <c r="J578" s="1">
        <v>5</v>
      </c>
      <c r="K578" s="2">
        <v>1299</v>
      </c>
      <c r="L578" s="5">
        <v>5520.75</v>
      </c>
      <c r="M578" s="5">
        <v>1362.51</v>
      </c>
      <c r="N578" s="1" t="s">
        <v>89</v>
      </c>
      <c r="O578" s="1" t="s">
        <v>53</v>
      </c>
      <c r="P578" s="1" t="str">
        <f t="shared" ref="P578:P641" si="9">IF(L578&gt;=10000,"High Value",IF(L578&gt;=5000,"Medium Value","Low Value"))</f>
        <v>Medium Value</v>
      </c>
    </row>
    <row r="579" spans="1:16" x14ac:dyDescent="0.35">
      <c r="A579" s="3" t="s">
        <v>983</v>
      </c>
      <c r="B579" s="4">
        <v>45905</v>
      </c>
      <c r="C579" s="1" t="s">
        <v>538</v>
      </c>
      <c r="D579" s="1" t="s">
        <v>539</v>
      </c>
      <c r="E579" s="1" t="s">
        <v>94</v>
      </c>
      <c r="F579" s="1" t="s">
        <v>27</v>
      </c>
      <c r="G579" s="1" t="s">
        <v>28</v>
      </c>
      <c r="H579" s="1" t="s">
        <v>29</v>
      </c>
      <c r="I579" s="1" t="s">
        <v>30</v>
      </c>
      <c r="J579" s="1">
        <v>8</v>
      </c>
      <c r="K579" s="2">
        <v>1759</v>
      </c>
      <c r="L579" s="5">
        <v>14072</v>
      </c>
      <c r="M579" s="5">
        <v>2128.52</v>
      </c>
      <c r="N579" s="1" t="s">
        <v>21</v>
      </c>
      <c r="O579" s="1" t="s">
        <v>53</v>
      </c>
      <c r="P579" s="1" t="str">
        <f t="shared" si="9"/>
        <v>High Value</v>
      </c>
    </row>
    <row r="580" spans="1:16" x14ac:dyDescent="0.35">
      <c r="A580" s="3" t="s">
        <v>984</v>
      </c>
      <c r="B580" s="4">
        <v>45896</v>
      </c>
      <c r="C580" s="1" t="s">
        <v>613</v>
      </c>
      <c r="D580" s="1" t="s">
        <v>614</v>
      </c>
      <c r="E580" s="1" t="s">
        <v>34</v>
      </c>
      <c r="F580" s="1" t="s">
        <v>27</v>
      </c>
      <c r="G580" s="1" t="s">
        <v>213</v>
      </c>
      <c r="H580" s="1" t="s">
        <v>214</v>
      </c>
      <c r="I580" s="1" t="s">
        <v>107</v>
      </c>
      <c r="J580" s="1">
        <v>2</v>
      </c>
      <c r="K580" s="2">
        <v>1899</v>
      </c>
      <c r="L580" s="5">
        <v>3418.2</v>
      </c>
      <c r="M580" s="5">
        <v>884.44</v>
      </c>
      <c r="N580" s="1" t="s">
        <v>89</v>
      </c>
      <c r="O580" s="1" t="s">
        <v>22</v>
      </c>
      <c r="P580" s="1" t="str">
        <f t="shared" si="9"/>
        <v>Low Value</v>
      </c>
    </row>
    <row r="581" spans="1:16" x14ac:dyDescent="0.35">
      <c r="A581" s="3" t="s">
        <v>985</v>
      </c>
      <c r="B581" s="4">
        <v>45954</v>
      </c>
      <c r="C581" s="1" t="s">
        <v>362</v>
      </c>
      <c r="D581" s="1" t="s">
        <v>363</v>
      </c>
      <c r="E581" s="1" t="s">
        <v>26</v>
      </c>
      <c r="F581" s="1" t="s">
        <v>27</v>
      </c>
      <c r="G581" s="1" t="s">
        <v>42</v>
      </c>
      <c r="H581" s="1" t="s">
        <v>43</v>
      </c>
      <c r="I581" s="1" t="s">
        <v>44</v>
      </c>
      <c r="J581" s="1">
        <v>1</v>
      </c>
      <c r="K581" s="2">
        <v>899</v>
      </c>
      <c r="L581" s="5">
        <v>809.1</v>
      </c>
      <c r="M581" s="5">
        <v>188.35</v>
      </c>
      <c r="N581" s="1" t="s">
        <v>113</v>
      </c>
      <c r="O581" s="1" t="s">
        <v>22</v>
      </c>
      <c r="P581" s="1" t="str">
        <f t="shared" si="9"/>
        <v>Low Value</v>
      </c>
    </row>
    <row r="582" spans="1:16" x14ac:dyDescent="0.35">
      <c r="A582" s="3" t="s">
        <v>986</v>
      </c>
      <c r="B582" s="4">
        <v>45873</v>
      </c>
      <c r="C582" s="1" t="s">
        <v>410</v>
      </c>
      <c r="D582" s="1" t="s">
        <v>192</v>
      </c>
      <c r="E582" s="1" t="s">
        <v>49</v>
      </c>
      <c r="F582" s="1" t="s">
        <v>49</v>
      </c>
      <c r="G582" s="1" t="s">
        <v>70</v>
      </c>
      <c r="H582" s="1" t="s">
        <v>71</v>
      </c>
      <c r="I582" s="1" t="s">
        <v>44</v>
      </c>
      <c r="J582" s="1">
        <v>3</v>
      </c>
      <c r="K582" s="2">
        <v>2969</v>
      </c>
      <c r="L582" s="5">
        <v>7125.6</v>
      </c>
      <c r="M582" s="5">
        <v>2301.7800000000002</v>
      </c>
      <c r="N582" s="1" t="s">
        <v>59</v>
      </c>
      <c r="O582" s="1" t="s">
        <v>22</v>
      </c>
      <c r="P582" s="1" t="str">
        <f t="shared" si="9"/>
        <v>Medium Value</v>
      </c>
    </row>
    <row r="583" spans="1:16" x14ac:dyDescent="0.35">
      <c r="A583" s="3" t="s">
        <v>987</v>
      </c>
      <c r="B583" s="4">
        <v>45791</v>
      </c>
      <c r="C583" s="1" t="s">
        <v>330</v>
      </c>
      <c r="D583" s="1" t="s">
        <v>287</v>
      </c>
      <c r="E583" s="1" t="s">
        <v>16</v>
      </c>
      <c r="F583" s="1" t="s">
        <v>17</v>
      </c>
      <c r="G583" s="1" t="s">
        <v>28</v>
      </c>
      <c r="H583" s="1" t="s">
        <v>29</v>
      </c>
      <c r="I583" s="1" t="s">
        <v>30</v>
      </c>
      <c r="J583" s="1">
        <v>3</v>
      </c>
      <c r="K583" s="2">
        <v>1679</v>
      </c>
      <c r="L583" s="5">
        <v>5037</v>
      </c>
      <c r="M583" s="5">
        <v>1331.73</v>
      </c>
      <c r="N583" s="1" t="s">
        <v>59</v>
      </c>
      <c r="O583" s="1" t="s">
        <v>136</v>
      </c>
      <c r="P583" s="1" t="str">
        <f t="shared" si="9"/>
        <v>Medium Value</v>
      </c>
    </row>
    <row r="584" spans="1:16" x14ac:dyDescent="0.35">
      <c r="A584" s="3" t="s">
        <v>988</v>
      </c>
      <c r="B584" s="4">
        <v>45671</v>
      </c>
      <c r="C584" s="1" t="s">
        <v>294</v>
      </c>
      <c r="D584" s="1" t="s">
        <v>116</v>
      </c>
      <c r="E584" s="1" t="s">
        <v>16</v>
      </c>
      <c r="F584" s="1" t="s">
        <v>17</v>
      </c>
      <c r="G584" s="1" t="s">
        <v>182</v>
      </c>
      <c r="H584" s="1" t="s">
        <v>183</v>
      </c>
      <c r="I584" s="1" t="s">
        <v>20</v>
      </c>
      <c r="J584" s="1">
        <v>3</v>
      </c>
      <c r="K584" s="2">
        <v>1889</v>
      </c>
      <c r="L584" s="5">
        <v>5667</v>
      </c>
      <c r="M584" s="5">
        <v>1741.57</v>
      </c>
      <c r="N584" s="1" t="s">
        <v>59</v>
      </c>
      <c r="O584" s="1" t="s">
        <v>22</v>
      </c>
      <c r="P584" s="1" t="str">
        <f t="shared" si="9"/>
        <v>Medium Value</v>
      </c>
    </row>
    <row r="585" spans="1:16" x14ac:dyDescent="0.35">
      <c r="A585" s="3" t="s">
        <v>989</v>
      </c>
      <c r="B585" s="4">
        <v>45801</v>
      </c>
      <c r="C585" s="1" t="s">
        <v>207</v>
      </c>
      <c r="D585" s="1" t="s">
        <v>208</v>
      </c>
      <c r="E585" s="1" t="s">
        <v>68</v>
      </c>
      <c r="F585" s="1" t="s">
        <v>69</v>
      </c>
      <c r="G585" s="1" t="s">
        <v>63</v>
      </c>
      <c r="H585" s="1" t="s">
        <v>64</v>
      </c>
      <c r="I585" s="1" t="s">
        <v>20</v>
      </c>
      <c r="J585" s="1">
        <v>2</v>
      </c>
      <c r="K585" s="2">
        <v>629</v>
      </c>
      <c r="L585" s="5">
        <v>1258</v>
      </c>
      <c r="M585" s="5">
        <v>402.85</v>
      </c>
      <c r="N585" s="1" t="s">
        <v>45</v>
      </c>
      <c r="O585" s="1" t="s">
        <v>22</v>
      </c>
      <c r="P585" s="1" t="str">
        <f t="shared" si="9"/>
        <v>Low Value</v>
      </c>
    </row>
    <row r="586" spans="1:16" x14ac:dyDescent="0.35">
      <c r="A586" s="3" t="s">
        <v>990</v>
      </c>
      <c r="B586" s="4">
        <v>45747</v>
      </c>
      <c r="C586" s="1" t="s">
        <v>721</v>
      </c>
      <c r="D586" s="1" t="s">
        <v>722</v>
      </c>
      <c r="E586" s="1" t="s">
        <v>141</v>
      </c>
      <c r="F586" s="1" t="s">
        <v>69</v>
      </c>
      <c r="G586" s="1" t="s">
        <v>105</v>
      </c>
      <c r="H586" s="1" t="s">
        <v>106</v>
      </c>
      <c r="I586" s="1" t="s">
        <v>107</v>
      </c>
      <c r="J586" s="1">
        <v>3</v>
      </c>
      <c r="K586" s="2">
        <v>1049</v>
      </c>
      <c r="L586" s="5">
        <v>3147</v>
      </c>
      <c r="M586" s="5">
        <v>615.01</v>
      </c>
      <c r="N586" s="1" t="s">
        <v>89</v>
      </c>
      <c r="O586" s="1" t="s">
        <v>53</v>
      </c>
      <c r="P586" s="1" t="str">
        <f t="shared" si="9"/>
        <v>Low Value</v>
      </c>
    </row>
    <row r="587" spans="1:16" x14ac:dyDescent="0.35">
      <c r="A587" s="3" t="s">
        <v>991</v>
      </c>
      <c r="B587" s="4">
        <v>45736</v>
      </c>
      <c r="C587" s="1" t="s">
        <v>143</v>
      </c>
      <c r="D587" s="1" t="s">
        <v>144</v>
      </c>
      <c r="E587" s="1" t="s">
        <v>75</v>
      </c>
      <c r="F587" s="1" t="s">
        <v>76</v>
      </c>
      <c r="G587" s="1" t="s">
        <v>262</v>
      </c>
      <c r="H587" s="1" t="s">
        <v>263</v>
      </c>
      <c r="I587" s="1" t="s">
        <v>97</v>
      </c>
      <c r="J587" s="1">
        <v>4</v>
      </c>
      <c r="K587" s="2">
        <v>164</v>
      </c>
      <c r="L587" s="5">
        <v>590.4</v>
      </c>
      <c r="M587" s="5">
        <v>165.15</v>
      </c>
      <c r="N587" s="1" t="s">
        <v>45</v>
      </c>
      <c r="O587" s="1" t="s">
        <v>22</v>
      </c>
      <c r="P587" s="1" t="str">
        <f t="shared" si="9"/>
        <v>Low Value</v>
      </c>
    </row>
    <row r="588" spans="1:16" x14ac:dyDescent="0.35">
      <c r="A588" s="3" t="s">
        <v>992</v>
      </c>
      <c r="B588" s="4">
        <v>45834</v>
      </c>
      <c r="C588" s="1" t="s">
        <v>531</v>
      </c>
      <c r="D588" s="1" t="s">
        <v>532</v>
      </c>
      <c r="E588" s="1" t="s">
        <v>68</v>
      </c>
      <c r="F588" s="1" t="s">
        <v>69</v>
      </c>
      <c r="G588" s="1" t="s">
        <v>120</v>
      </c>
      <c r="H588" s="1" t="s">
        <v>121</v>
      </c>
      <c r="I588" s="1" t="s">
        <v>20</v>
      </c>
      <c r="J588" s="1">
        <v>1</v>
      </c>
      <c r="K588" s="2">
        <v>1499</v>
      </c>
      <c r="L588" s="5">
        <v>1349.1</v>
      </c>
      <c r="M588" s="5">
        <v>280.24</v>
      </c>
      <c r="N588" s="1" t="s">
        <v>59</v>
      </c>
      <c r="O588" s="1" t="s">
        <v>22</v>
      </c>
      <c r="P588" s="1" t="str">
        <f t="shared" si="9"/>
        <v>Low Value</v>
      </c>
    </row>
    <row r="589" spans="1:16" x14ac:dyDescent="0.35">
      <c r="A589" s="3" t="s">
        <v>993</v>
      </c>
      <c r="B589" s="4">
        <v>45777</v>
      </c>
      <c r="C589" s="1" t="s">
        <v>103</v>
      </c>
      <c r="D589" s="1" t="s">
        <v>104</v>
      </c>
      <c r="E589" s="1" t="s">
        <v>145</v>
      </c>
      <c r="F589" s="1" t="s">
        <v>0</v>
      </c>
      <c r="G589" s="1" t="s">
        <v>105</v>
      </c>
      <c r="H589" s="1" t="s">
        <v>106</v>
      </c>
      <c r="I589" s="1" t="s">
        <v>107</v>
      </c>
      <c r="J589" s="1">
        <v>5</v>
      </c>
      <c r="K589" s="2">
        <v>999</v>
      </c>
      <c r="L589" s="5">
        <v>4245.75</v>
      </c>
      <c r="M589" s="5">
        <v>1322.39</v>
      </c>
      <c r="N589" s="1" t="s">
        <v>89</v>
      </c>
      <c r="O589" s="1" t="s">
        <v>22</v>
      </c>
      <c r="P589" s="1" t="str">
        <f t="shared" si="9"/>
        <v>Low Value</v>
      </c>
    </row>
    <row r="590" spans="1:16" x14ac:dyDescent="0.35">
      <c r="A590" s="3" t="s">
        <v>994</v>
      </c>
      <c r="B590" s="4">
        <v>45853</v>
      </c>
      <c r="C590" s="1" t="s">
        <v>129</v>
      </c>
      <c r="D590" s="1" t="s">
        <v>130</v>
      </c>
      <c r="E590" s="1" t="s">
        <v>111</v>
      </c>
      <c r="F590" s="1" t="s">
        <v>112</v>
      </c>
      <c r="G590" s="1" t="s">
        <v>213</v>
      </c>
      <c r="H590" s="1" t="s">
        <v>214</v>
      </c>
      <c r="I590" s="1" t="s">
        <v>107</v>
      </c>
      <c r="J590" s="1">
        <v>1</v>
      </c>
      <c r="K590" s="2">
        <v>1709</v>
      </c>
      <c r="L590" s="5">
        <v>1452.65</v>
      </c>
      <c r="M590" s="5">
        <v>378.03</v>
      </c>
      <c r="N590" s="1" t="s">
        <v>113</v>
      </c>
      <c r="O590" s="1" t="s">
        <v>22</v>
      </c>
      <c r="P590" s="1" t="str">
        <f t="shared" si="9"/>
        <v>Low Value</v>
      </c>
    </row>
    <row r="591" spans="1:16" x14ac:dyDescent="0.35">
      <c r="A591" s="3" t="s">
        <v>995</v>
      </c>
      <c r="B591" s="4">
        <v>45797</v>
      </c>
      <c r="C591" s="1" t="s">
        <v>402</v>
      </c>
      <c r="D591" s="1" t="s">
        <v>40</v>
      </c>
      <c r="E591" s="1" t="s">
        <v>68</v>
      </c>
      <c r="F591" s="1" t="s">
        <v>69</v>
      </c>
      <c r="G591" s="1" t="s">
        <v>57</v>
      </c>
      <c r="H591" s="1" t="s">
        <v>58</v>
      </c>
      <c r="I591" s="1" t="s">
        <v>44</v>
      </c>
      <c r="J591" s="1">
        <v>2</v>
      </c>
      <c r="K591" s="2">
        <v>399</v>
      </c>
      <c r="L591" s="5">
        <v>638.4</v>
      </c>
      <c r="M591" s="5">
        <v>158.65</v>
      </c>
      <c r="N591" s="1" t="s">
        <v>113</v>
      </c>
      <c r="O591" s="1" t="s">
        <v>136</v>
      </c>
      <c r="P591" s="1" t="str">
        <f t="shared" si="9"/>
        <v>Low Value</v>
      </c>
    </row>
    <row r="592" spans="1:16" x14ac:dyDescent="0.35">
      <c r="A592" s="3" t="s">
        <v>996</v>
      </c>
      <c r="B592" s="4">
        <v>45781</v>
      </c>
      <c r="C592" s="1" t="s">
        <v>305</v>
      </c>
      <c r="D592" s="1" t="s">
        <v>306</v>
      </c>
      <c r="E592" s="1" t="s">
        <v>236</v>
      </c>
      <c r="F592" s="1" t="s">
        <v>86</v>
      </c>
      <c r="G592" s="1" t="s">
        <v>213</v>
      </c>
      <c r="H592" s="1" t="s">
        <v>214</v>
      </c>
      <c r="I592" s="1" t="s">
        <v>107</v>
      </c>
      <c r="J592" s="1">
        <v>6</v>
      </c>
      <c r="K592" s="2">
        <v>2089</v>
      </c>
      <c r="L592" s="5">
        <v>10027.200000000001</v>
      </c>
      <c r="M592" s="5">
        <v>3394.28</v>
      </c>
      <c r="N592" s="1" t="s">
        <v>59</v>
      </c>
      <c r="O592" s="1" t="s">
        <v>22</v>
      </c>
      <c r="P592" s="1" t="str">
        <f t="shared" si="9"/>
        <v>High Value</v>
      </c>
    </row>
    <row r="593" spans="1:16" x14ac:dyDescent="0.35">
      <c r="A593" s="3" t="s">
        <v>997</v>
      </c>
      <c r="B593" s="4">
        <v>45662</v>
      </c>
      <c r="C593" s="1" t="s">
        <v>833</v>
      </c>
      <c r="D593" s="1" t="s">
        <v>192</v>
      </c>
      <c r="E593" s="1" t="s">
        <v>166</v>
      </c>
      <c r="F593" s="1" t="s">
        <v>27</v>
      </c>
      <c r="G593" s="1" t="s">
        <v>87</v>
      </c>
      <c r="H593" s="1" t="s">
        <v>88</v>
      </c>
      <c r="I593" s="1" t="s">
        <v>52</v>
      </c>
      <c r="J593" s="1">
        <v>2</v>
      </c>
      <c r="K593" s="2">
        <v>6824</v>
      </c>
      <c r="L593" s="5">
        <v>13648</v>
      </c>
      <c r="M593" s="5">
        <v>3696.01</v>
      </c>
      <c r="N593" s="1" t="s">
        <v>59</v>
      </c>
      <c r="O593" s="1" t="s">
        <v>22</v>
      </c>
      <c r="P593" s="1" t="str">
        <f t="shared" si="9"/>
        <v>High Value</v>
      </c>
    </row>
    <row r="594" spans="1:16" x14ac:dyDescent="0.35">
      <c r="A594" s="3" t="s">
        <v>998</v>
      </c>
      <c r="B594" s="4">
        <v>45786</v>
      </c>
      <c r="C594" s="1" t="s">
        <v>879</v>
      </c>
      <c r="D594" s="1" t="s">
        <v>363</v>
      </c>
      <c r="E594" s="1" t="s">
        <v>26</v>
      </c>
      <c r="F594" s="1" t="s">
        <v>27</v>
      </c>
      <c r="G594" s="1" t="s">
        <v>63</v>
      </c>
      <c r="H594" s="1" t="s">
        <v>64</v>
      </c>
      <c r="I594" s="1" t="s">
        <v>20</v>
      </c>
      <c r="J594" s="1">
        <v>2</v>
      </c>
      <c r="K594" s="2">
        <v>539</v>
      </c>
      <c r="L594" s="5">
        <v>916.3</v>
      </c>
      <c r="M594" s="5">
        <v>242.32</v>
      </c>
      <c r="N594" s="1" t="s">
        <v>45</v>
      </c>
      <c r="O594" s="1" t="s">
        <v>53</v>
      </c>
      <c r="P594" s="1" t="str">
        <f t="shared" si="9"/>
        <v>Low Value</v>
      </c>
    </row>
    <row r="595" spans="1:16" x14ac:dyDescent="0.35">
      <c r="A595" s="3" t="s">
        <v>999</v>
      </c>
      <c r="B595" s="4">
        <v>45720</v>
      </c>
      <c r="C595" s="1" t="s">
        <v>259</v>
      </c>
      <c r="D595" s="1" t="s">
        <v>260</v>
      </c>
      <c r="E595" s="1" t="s">
        <v>34</v>
      </c>
      <c r="F595" s="1" t="s">
        <v>27</v>
      </c>
      <c r="G595" s="1" t="s">
        <v>131</v>
      </c>
      <c r="H595" s="1" t="s">
        <v>132</v>
      </c>
      <c r="I595" s="1" t="s">
        <v>44</v>
      </c>
      <c r="J595" s="1">
        <v>3</v>
      </c>
      <c r="K595" s="2">
        <v>549</v>
      </c>
      <c r="L595" s="5">
        <v>1317.6</v>
      </c>
      <c r="M595" s="5">
        <v>379.53</v>
      </c>
      <c r="N595" s="1" t="s">
        <v>21</v>
      </c>
      <c r="O595" s="1" t="s">
        <v>136</v>
      </c>
      <c r="P595" s="1" t="str">
        <f t="shared" si="9"/>
        <v>Low Value</v>
      </c>
    </row>
    <row r="596" spans="1:16" x14ac:dyDescent="0.35">
      <c r="A596" s="3" t="s">
        <v>1000</v>
      </c>
      <c r="B596" s="4">
        <v>45714</v>
      </c>
      <c r="C596" s="1" t="s">
        <v>147</v>
      </c>
      <c r="D596" s="1" t="s">
        <v>148</v>
      </c>
      <c r="E596" s="1" t="s">
        <v>101</v>
      </c>
      <c r="F596" s="1" t="s">
        <v>86</v>
      </c>
      <c r="G596" s="1" t="s">
        <v>57</v>
      </c>
      <c r="H596" s="1" t="s">
        <v>58</v>
      </c>
      <c r="I596" s="1" t="s">
        <v>44</v>
      </c>
      <c r="J596" s="1">
        <v>5</v>
      </c>
      <c r="K596" s="2">
        <v>399</v>
      </c>
      <c r="L596" s="5">
        <v>1596</v>
      </c>
      <c r="M596" s="5">
        <v>520.23</v>
      </c>
      <c r="N596" s="1" t="s">
        <v>113</v>
      </c>
      <c r="O596" s="1" t="s">
        <v>90</v>
      </c>
      <c r="P596" s="1" t="str">
        <f t="shared" si="9"/>
        <v>Low Value</v>
      </c>
    </row>
    <row r="597" spans="1:16" x14ac:dyDescent="0.35">
      <c r="A597" s="3" t="s">
        <v>1001</v>
      </c>
      <c r="B597" s="4">
        <v>45876</v>
      </c>
      <c r="C597" s="1" t="s">
        <v>250</v>
      </c>
      <c r="D597" s="1" t="s">
        <v>251</v>
      </c>
      <c r="E597" s="1" t="s">
        <v>111</v>
      </c>
      <c r="F597" s="1" t="s">
        <v>112</v>
      </c>
      <c r="G597" s="1" t="s">
        <v>57</v>
      </c>
      <c r="H597" s="1" t="s">
        <v>58</v>
      </c>
      <c r="I597" s="1" t="s">
        <v>44</v>
      </c>
      <c r="J597" s="1">
        <v>3</v>
      </c>
      <c r="K597" s="2">
        <v>359</v>
      </c>
      <c r="L597" s="5">
        <v>1023.15</v>
      </c>
      <c r="M597" s="5">
        <v>297.7</v>
      </c>
      <c r="N597" s="1" t="s">
        <v>113</v>
      </c>
      <c r="O597" s="1" t="s">
        <v>22</v>
      </c>
      <c r="P597" s="1" t="str">
        <f t="shared" si="9"/>
        <v>Low Value</v>
      </c>
    </row>
    <row r="598" spans="1:16" x14ac:dyDescent="0.35">
      <c r="A598" s="3" t="s">
        <v>1002</v>
      </c>
      <c r="B598" s="4">
        <v>45790</v>
      </c>
      <c r="C598" s="1" t="s">
        <v>324</v>
      </c>
      <c r="D598" s="1" t="s">
        <v>325</v>
      </c>
      <c r="E598" s="1" t="s">
        <v>101</v>
      </c>
      <c r="F598" s="1" t="s">
        <v>86</v>
      </c>
      <c r="G598" s="1" t="s">
        <v>50</v>
      </c>
      <c r="H598" s="1" t="s">
        <v>51</v>
      </c>
      <c r="I598" s="1" t="s">
        <v>52</v>
      </c>
      <c r="J598" s="1">
        <v>2</v>
      </c>
      <c r="K598" s="2">
        <v>7999</v>
      </c>
      <c r="L598" s="5">
        <v>15998</v>
      </c>
      <c r="M598" s="5">
        <v>4067.75</v>
      </c>
      <c r="N598" s="1" t="s">
        <v>45</v>
      </c>
      <c r="O598" s="1" t="s">
        <v>22</v>
      </c>
      <c r="P598" s="1" t="str">
        <f t="shared" si="9"/>
        <v>High Value</v>
      </c>
    </row>
    <row r="599" spans="1:16" x14ac:dyDescent="0.35">
      <c r="A599" s="3" t="s">
        <v>1003</v>
      </c>
      <c r="B599" s="4">
        <v>45731</v>
      </c>
      <c r="C599" s="1" t="s">
        <v>243</v>
      </c>
      <c r="D599" s="1" t="s">
        <v>244</v>
      </c>
      <c r="E599" s="1" t="s">
        <v>75</v>
      </c>
      <c r="F599" s="1" t="s">
        <v>76</v>
      </c>
      <c r="G599" s="1" t="s">
        <v>161</v>
      </c>
      <c r="H599" s="1" t="s">
        <v>162</v>
      </c>
      <c r="I599" s="1" t="s">
        <v>37</v>
      </c>
      <c r="J599" s="1">
        <v>2</v>
      </c>
      <c r="K599" s="2">
        <v>2299</v>
      </c>
      <c r="L599" s="5">
        <v>3678.4</v>
      </c>
      <c r="M599" s="5">
        <v>651</v>
      </c>
      <c r="N599" s="1" t="s">
        <v>89</v>
      </c>
      <c r="O599" s="1" t="s">
        <v>22</v>
      </c>
      <c r="P599" s="1" t="str">
        <f t="shared" si="9"/>
        <v>Low Value</v>
      </c>
    </row>
    <row r="600" spans="1:16" x14ac:dyDescent="0.35">
      <c r="A600" s="3" t="s">
        <v>1004</v>
      </c>
      <c r="B600" s="4">
        <v>45786</v>
      </c>
      <c r="C600" s="1" t="s">
        <v>1005</v>
      </c>
      <c r="D600" s="1" t="s">
        <v>1006</v>
      </c>
      <c r="E600" s="1" t="s">
        <v>166</v>
      </c>
      <c r="F600" s="1" t="s">
        <v>27</v>
      </c>
      <c r="G600" s="1" t="s">
        <v>105</v>
      </c>
      <c r="H600" s="1" t="s">
        <v>106</v>
      </c>
      <c r="I600" s="1" t="s">
        <v>107</v>
      </c>
      <c r="J600" s="1">
        <v>3</v>
      </c>
      <c r="K600" s="2">
        <v>1099</v>
      </c>
      <c r="L600" s="5">
        <v>2637.6</v>
      </c>
      <c r="M600" s="5">
        <v>317.02</v>
      </c>
      <c r="N600" s="1" t="s">
        <v>89</v>
      </c>
      <c r="O600" s="1" t="s">
        <v>22</v>
      </c>
      <c r="P600" s="1" t="str">
        <f t="shared" si="9"/>
        <v>Low Value</v>
      </c>
    </row>
    <row r="601" spans="1:16" x14ac:dyDescent="0.35">
      <c r="A601" s="3" t="s">
        <v>1007</v>
      </c>
      <c r="B601" s="4">
        <v>45735</v>
      </c>
      <c r="C601" s="1" t="s">
        <v>291</v>
      </c>
      <c r="D601" s="1" t="s">
        <v>292</v>
      </c>
      <c r="E601" s="1" t="s">
        <v>111</v>
      </c>
      <c r="F601" s="1" t="s">
        <v>112</v>
      </c>
      <c r="G601" s="1" t="s">
        <v>262</v>
      </c>
      <c r="H601" s="1" t="s">
        <v>263</v>
      </c>
      <c r="I601" s="1" t="s">
        <v>97</v>
      </c>
      <c r="J601" s="1">
        <v>1</v>
      </c>
      <c r="K601" s="2">
        <v>156</v>
      </c>
      <c r="L601" s="5">
        <v>124.8</v>
      </c>
      <c r="M601" s="5">
        <v>40.78</v>
      </c>
      <c r="N601" s="1" t="s">
        <v>113</v>
      </c>
      <c r="O601" s="1" t="s">
        <v>22</v>
      </c>
      <c r="P601" s="1" t="str">
        <f t="shared" si="9"/>
        <v>Low Value</v>
      </c>
    </row>
    <row r="602" spans="1:16" x14ac:dyDescent="0.35">
      <c r="A602" s="3" t="s">
        <v>1008</v>
      </c>
      <c r="B602" s="4">
        <v>45693</v>
      </c>
      <c r="C602" s="1" t="s">
        <v>243</v>
      </c>
      <c r="D602" s="1" t="s">
        <v>244</v>
      </c>
      <c r="E602" s="1" t="s">
        <v>141</v>
      </c>
      <c r="F602" s="1" t="s">
        <v>69</v>
      </c>
      <c r="G602" s="1" t="s">
        <v>63</v>
      </c>
      <c r="H602" s="1" t="s">
        <v>64</v>
      </c>
      <c r="I602" s="1" t="s">
        <v>20</v>
      </c>
      <c r="J602" s="1">
        <v>7</v>
      </c>
      <c r="K602" s="2">
        <v>659</v>
      </c>
      <c r="L602" s="5">
        <v>4151.7</v>
      </c>
      <c r="M602" s="5">
        <v>608.91</v>
      </c>
      <c r="N602" s="1" t="s">
        <v>21</v>
      </c>
      <c r="O602" s="1" t="s">
        <v>90</v>
      </c>
      <c r="P602" s="1" t="str">
        <f t="shared" si="9"/>
        <v>Low Value</v>
      </c>
    </row>
    <row r="603" spans="1:16" x14ac:dyDescent="0.35">
      <c r="A603" s="3" t="s">
        <v>1009</v>
      </c>
      <c r="B603" s="4">
        <v>45828</v>
      </c>
      <c r="C603" s="1" t="s">
        <v>296</v>
      </c>
      <c r="D603" s="1" t="s">
        <v>297</v>
      </c>
      <c r="E603" s="1" t="s">
        <v>49</v>
      </c>
      <c r="F603" s="1" t="s">
        <v>49</v>
      </c>
      <c r="G603" s="1" t="s">
        <v>262</v>
      </c>
      <c r="H603" s="1" t="s">
        <v>263</v>
      </c>
      <c r="I603" s="1" t="s">
        <v>97</v>
      </c>
      <c r="J603" s="1">
        <v>1</v>
      </c>
      <c r="K603" s="2">
        <v>164</v>
      </c>
      <c r="L603" s="5">
        <v>131.19999999999999</v>
      </c>
      <c r="M603" s="5">
        <v>18.36</v>
      </c>
      <c r="N603" s="1" t="s">
        <v>21</v>
      </c>
      <c r="O603" s="1" t="s">
        <v>136</v>
      </c>
      <c r="P603" s="1" t="str">
        <f t="shared" si="9"/>
        <v>Low Value</v>
      </c>
    </row>
    <row r="604" spans="1:16" x14ac:dyDescent="0.35">
      <c r="A604" s="3" t="s">
        <v>1010</v>
      </c>
      <c r="B604" s="4">
        <v>45699</v>
      </c>
      <c r="C604" s="1" t="s">
        <v>473</v>
      </c>
      <c r="D604" s="1" t="s">
        <v>474</v>
      </c>
      <c r="E604" s="1" t="s">
        <v>49</v>
      </c>
      <c r="F604" s="1" t="s">
        <v>49</v>
      </c>
      <c r="G604" s="1" t="s">
        <v>161</v>
      </c>
      <c r="H604" s="1" t="s">
        <v>162</v>
      </c>
      <c r="I604" s="1" t="s">
        <v>37</v>
      </c>
      <c r="J604" s="1">
        <v>3</v>
      </c>
      <c r="K604" s="2">
        <v>2414</v>
      </c>
      <c r="L604" s="5">
        <v>7242</v>
      </c>
      <c r="M604" s="5">
        <v>2410.52</v>
      </c>
      <c r="N604" s="1" t="s">
        <v>45</v>
      </c>
      <c r="O604" s="1" t="s">
        <v>22</v>
      </c>
      <c r="P604" s="1" t="str">
        <f t="shared" si="9"/>
        <v>Medium Value</v>
      </c>
    </row>
    <row r="605" spans="1:16" x14ac:dyDescent="0.35">
      <c r="A605" s="3" t="s">
        <v>1011</v>
      </c>
      <c r="B605" s="4">
        <v>45712</v>
      </c>
      <c r="C605" s="1" t="s">
        <v>727</v>
      </c>
      <c r="D605" s="1" t="s">
        <v>728</v>
      </c>
      <c r="E605" s="1" t="s">
        <v>312</v>
      </c>
      <c r="F605" s="1" t="s">
        <v>112</v>
      </c>
      <c r="G605" s="1" t="s">
        <v>105</v>
      </c>
      <c r="H605" s="1" t="s">
        <v>106</v>
      </c>
      <c r="I605" s="1" t="s">
        <v>107</v>
      </c>
      <c r="J605" s="1">
        <v>2</v>
      </c>
      <c r="K605" s="2">
        <v>1099</v>
      </c>
      <c r="L605" s="5">
        <v>1978.2</v>
      </c>
      <c r="M605" s="5">
        <v>557.4</v>
      </c>
      <c r="N605" s="1" t="s">
        <v>45</v>
      </c>
      <c r="O605" s="1" t="s">
        <v>22</v>
      </c>
      <c r="P605" s="1" t="str">
        <f t="shared" si="9"/>
        <v>Low Value</v>
      </c>
    </row>
    <row r="606" spans="1:16" x14ac:dyDescent="0.35">
      <c r="A606" s="3" t="s">
        <v>1012</v>
      </c>
      <c r="B606" s="4">
        <v>45961</v>
      </c>
      <c r="C606" s="1" t="s">
        <v>527</v>
      </c>
      <c r="D606" s="1" t="s">
        <v>528</v>
      </c>
      <c r="E606" s="1" t="s">
        <v>16</v>
      </c>
      <c r="F606" s="1" t="s">
        <v>17</v>
      </c>
      <c r="G606" s="1" t="s">
        <v>262</v>
      </c>
      <c r="H606" s="1" t="s">
        <v>263</v>
      </c>
      <c r="I606" s="1" t="s">
        <v>97</v>
      </c>
      <c r="J606" s="1">
        <v>2</v>
      </c>
      <c r="K606" s="2">
        <v>156</v>
      </c>
      <c r="L606" s="5">
        <v>249.6</v>
      </c>
      <c r="M606" s="5">
        <v>46.85</v>
      </c>
      <c r="N606" s="1" t="s">
        <v>21</v>
      </c>
      <c r="O606" s="1" t="s">
        <v>53</v>
      </c>
      <c r="P606" s="1" t="str">
        <f t="shared" si="9"/>
        <v>Low Value</v>
      </c>
    </row>
    <row r="607" spans="1:16" x14ac:dyDescent="0.35">
      <c r="A607" s="3" t="s">
        <v>1013</v>
      </c>
      <c r="B607" s="4">
        <v>45666</v>
      </c>
      <c r="C607" s="1" t="s">
        <v>279</v>
      </c>
      <c r="D607" s="1" t="s">
        <v>280</v>
      </c>
      <c r="E607" s="1" t="s">
        <v>111</v>
      </c>
      <c r="F607" s="1" t="s">
        <v>112</v>
      </c>
      <c r="G607" s="1" t="s">
        <v>177</v>
      </c>
      <c r="H607" s="1" t="s">
        <v>178</v>
      </c>
      <c r="I607" s="1" t="s">
        <v>20</v>
      </c>
      <c r="J607" s="1">
        <v>6</v>
      </c>
      <c r="K607" s="2">
        <v>2749</v>
      </c>
      <c r="L607" s="5">
        <v>16494</v>
      </c>
      <c r="M607" s="5">
        <v>3450.74</v>
      </c>
      <c r="N607" s="1" t="s">
        <v>45</v>
      </c>
      <c r="O607" s="1" t="s">
        <v>136</v>
      </c>
      <c r="P607" s="1" t="str">
        <f t="shared" si="9"/>
        <v>High Value</v>
      </c>
    </row>
    <row r="608" spans="1:16" x14ac:dyDescent="0.35">
      <c r="A608" s="3" t="s">
        <v>1014</v>
      </c>
      <c r="B608" s="4">
        <v>45925</v>
      </c>
      <c r="C608" s="1" t="s">
        <v>473</v>
      </c>
      <c r="D608" s="1" t="s">
        <v>474</v>
      </c>
      <c r="E608" s="1" t="s">
        <v>80</v>
      </c>
      <c r="F608" s="1" t="s">
        <v>81</v>
      </c>
      <c r="G608" s="1" t="s">
        <v>18</v>
      </c>
      <c r="H608" s="1" t="s">
        <v>19</v>
      </c>
      <c r="I608" s="1" t="s">
        <v>20</v>
      </c>
      <c r="J608" s="1">
        <v>4</v>
      </c>
      <c r="K608" s="2">
        <v>3599</v>
      </c>
      <c r="L608" s="5">
        <v>14396</v>
      </c>
      <c r="M608" s="5">
        <v>4056.81</v>
      </c>
      <c r="N608" s="1" t="s">
        <v>113</v>
      </c>
      <c r="O608" s="1" t="s">
        <v>22</v>
      </c>
      <c r="P608" s="1" t="str">
        <f t="shared" si="9"/>
        <v>High Value</v>
      </c>
    </row>
    <row r="609" spans="1:16" x14ac:dyDescent="0.35">
      <c r="A609" s="3" t="s">
        <v>1015</v>
      </c>
      <c r="B609" s="4">
        <v>45974</v>
      </c>
      <c r="C609" s="1" t="s">
        <v>139</v>
      </c>
      <c r="D609" s="1" t="s">
        <v>140</v>
      </c>
      <c r="E609" s="1" t="s">
        <v>141</v>
      </c>
      <c r="F609" s="1" t="s">
        <v>69</v>
      </c>
      <c r="G609" s="1" t="s">
        <v>18</v>
      </c>
      <c r="H609" s="1" t="s">
        <v>19</v>
      </c>
      <c r="I609" s="1" t="s">
        <v>20</v>
      </c>
      <c r="J609" s="1">
        <v>1</v>
      </c>
      <c r="K609" s="2">
        <v>3999</v>
      </c>
      <c r="L609" s="5">
        <v>3199.2</v>
      </c>
      <c r="M609" s="5">
        <v>419.07</v>
      </c>
      <c r="N609" s="1" t="s">
        <v>59</v>
      </c>
      <c r="O609" s="1" t="s">
        <v>136</v>
      </c>
      <c r="P609" s="1" t="str">
        <f t="shared" si="9"/>
        <v>Low Value</v>
      </c>
    </row>
    <row r="610" spans="1:16" x14ac:dyDescent="0.35">
      <c r="A610" s="3" t="s">
        <v>1016</v>
      </c>
      <c r="B610" s="4">
        <v>45891</v>
      </c>
      <c r="C610" s="1" t="s">
        <v>460</v>
      </c>
      <c r="D610" s="1" t="s">
        <v>461</v>
      </c>
      <c r="E610" s="1" t="s">
        <v>101</v>
      </c>
      <c r="F610" s="1" t="s">
        <v>86</v>
      </c>
      <c r="G610" s="1" t="s">
        <v>28</v>
      </c>
      <c r="H610" s="1" t="s">
        <v>29</v>
      </c>
      <c r="I610" s="1" t="s">
        <v>30</v>
      </c>
      <c r="J610" s="1">
        <v>2</v>
      </c>
      <c r="K610" s="2">
        <v>1439</v>
      </c>
      <c r="L610" s="5">
        <v>2878</v>
      </c>
      <c r="M610" s="5">
        <v>660.13</v>
      </c>
      <c r="N610" s="1" t="s">
        <v>21</v>
      </c>
      <c r="O610" s="1" t="s">
        <v>22</v>
      </c>
      <c r="P610" s="1" t="str">
        <f t="shared" si="9"/>
        <v>Low Value</v>
      </c>
    </row>
    <row r="611" spans="1:16" x14ac:dyDescent="0.35">
      <c r="A611" s="3" t="s">
        <v>1017</v>
      </c>
      <c r="B611" s="4">
        <v>45876</v>
      </c>
      <c r="C611" s="1" t="s">
        <v>204</v>
      </c>
      <c r="D611" s="1" t="s">
        <v>205</v>
      </c>
      <c r="E611" s="1" t="s">
        <v>145</v>
      </c>
      <c r="F611" s="1" t="s">
        <v>0</v>
      </c>
      <c r="G611" s="1" t="s">
        <v>42</v>
      </c>
      <c r="H611" s="1" t="s">
        <v>43</v>
      </c>
      <c r="I611" s="1" t="s">
        <v>44</v>
      </c>
      <c r="J611" s="1">
        <v>2</v>
      </c>
      <c r="K611" s="2">
        <v>989</v>
      </c>
      <c r="L611" s="5">
        <v>1681.3</v>
      </c>
      <c r="M611" s="5">
        <v>403.67</v>
      </c>
      <c r="N611" s="1" t="s">
        <v>59</v>
      </c>
      <c r="O611" s="1" t="s">
        <v>136</v>
      </c>
      <c r="P611" s="1" t="str">
        <f t="shared" si="9"/>
        <v>Low Value</v>
      </c>
    </row>
    <row r="612" spans="1:16" x14ac:dyDescent="0.35">
      <c r="A612" s="3" t="s">
        <v>1018</v>
      </c>
      <c r="B612" s="4">
        <v>45681</v>
      </c>
      <c r="C612" s="1" t="s">
        <v>327</v>
      </c>
      <c r="D612" s="1" t="s">
        <v>328</v>
      </c>
      <c r="E612" s="1" t="s">
        <v>101</v>
      </c>
      <c r="F612" s="1" t="s">
        <v>86</v>
      </c>
      <c r="G612" s="1" t="s">
        <v>42</v>
      </c>
      <c r="H612" s="1" t="s">
        <v>43</v>
      </c>
      <c r="I612" s="1" t="s">
        <v>44</v>
      </c>
      <c r="J612" s="1">
        <v>2</v>
      </c>
      <c r="K612" s="2">
        <v>809</v>
      </c>
      <c r="L612" s="5">
        <v>1537.1</v>
      </c>
      <c r="M612" s="5">
        <v>232.21</v>
      </c>
      <c r="N612" s="1" t="s">
        <v>113</v>
      </c>
      <c r="O612" s="1" t="s">
        <v>22</v>
      </c>
      <c r="P612" s="1" t="str">
        <f t="shared" si="9"/>
        <v>Low Value</v>
      </c>
    </row>
    <row r="613" spans="1:16" x14ac:dyDescent="0.35">
      <c r="A613" s="3" t="s">
        <v>1019</v>
      </c>
      <c r="B613" s="4">
        <v>45941</v>
      </c>
      <c r="C613" s="1" t="s">
        <v>170</v>
      </c>
      <c r="D613" s="1" t="s">
        <v>171</v>
      </c>
      <c r="E613" s="1" t="s">
        <v>172</v>
      </c>
      <c r="F613" s="1" t="s">
        <v>173</v>
      </c>
      <c r="G613" s="1" t="s">
        <v>35</v>
      </c>
      <c r="H613" s="1" t="s">
        <v>36</v>
      </c>
      <c r="I613" s="1" t="s">
        <v>37</v>
      </c>
      <c r="J613" s="1">
        <v>1</v>
      </c>
      <c r="K613" s="2">
        <v>1299</v>
      </c>
      <c r="L613" s="5">
        <v>1299</v>
      </c>
      <c r="M613" s="5">
        <v>381.95</v>
      </c>
      <c r="N613" s="1" t="s">
        <v>21</v>
      </c>
      <c r="O613" s="1" t="s">
        <v>22</v>
      </c>
      <c r="P613" s="1" t="str">
        <f t="shared" si="9"/>
        <v>Low Value</v>
      </c>
    </row>
    <row r="614" spans="1:16" x14ac:dyDescent="0.35">
      <c r="A614" s="3" t="s">
        <v>1020</v>
      </c>
      <c r="B614" s="4">
        <v>45666</v>
      </c>
      <c r="C614" s="1" t="s">
        <v>676</v>
      </c>
      <c r="D614" s="1" t="s">
        <v>677</v>
      </c>
      <c r="E614" s="1" t="s">
        <v>34</v>
      </c>
      <c r="F614" s="1" t="s">
        <v>27</v>
      </c>
      <c r="G614" s="1" t="s">
        <v>63</v>
      </c>
      <c r="H614" s="1" t="s">
        <v>64</v>
      </c>
      <c r="I614" s="1" t="s">
        <v>20</v>
      </c>
      <c r="J614" s="1">
        <v>1</v>
      </c>
      <c r="K614" s="2">
        <v>599</v>
      </c>
      <c r="L614" s="5">
        <v>599</v>
      </c>
      <c r="M614" s="5">
        <v>165.01</v>
      </c>
      <c r="N614" s="1" t="s">
        <v>21</v>
      </c>
      <c r="O614" s="1" t="s">
        <v>90</v>
      </c>
      <c r="P614" s="1" t="str">
        <f t="shared" si="9"/>
        <v>Low Value</v>
      </c>
    </row>
    <row r="615" spans="1:16" x14ac:dyDescent="0.35">
      <c r="A615" s="3" t="s">
        <v>1021</v>
      </c>
      <c r="B615" s="4">
        <v>46013</v>
      </c>
      <c r="C615" s="1" t="s">
        <v>210</v>
      </c>
      <c r="D615" s="1" t="s">
        <v>211</v>
      </c>
      <c r="E615" s="1" t="s">
        <v>85</v>
      </c>
      <c r="F615" s="1" t="s">
        <v>86</v>
      </c>
      <c r="G615" s="1" t="s">
        <v>161</v>
      </c>
      <c r="H615" s="1" t="s">
        <v>162</v>
      </c>
      <c r="I615" s="1" t="s">
        <v>37</v>
      </c>
      <c r="J615" s="1">
        <v>3</v>
      </c>
      <c r="K615" s="2">
        <v>2529</v>
      </c>
      <c r="L615" s="5">
        <v>7207.65</v>
      </c>
      <c r="M615" s="5">
        <v>1694.37</v>
      </c>
      <c r="N615" s="1" t="s">
        <v>113</v>
      </c>
      <c r="O615" s="1" t="s">
        <v>22</v>
      </c>
      <c r="P615" s="1" t="str">
        <f t="shared" si="9"/>
        <v>Medium Value</v>
      </c>
    </row>
    <row r="616" spans="1:16" x14ac:dyDescent="0.35">
      <c r="A616" s="3" t="s">
        <v>1022</v>
      </c>
      <c r="B616" s="4">
        <v>45970</v>
      </c>
      <c r="C616" s="1" t="s">
        <v>250</v>
      </c>
      <c r="D616" s="1" t="s">
        <v>251</v>
      </c>
      <c r="E616" s="1" t="s">
        <v>26</v>
      </c>
      <c r="F616" s="1" t="s">
        <v>27</v>
      </c>
      <c r="G616" s="1" t="s">
        <v>131</v>
      </c>
      <c r="H616" s="1" t="s">
        <v>132</v>
      </c>
      <c r="I616" s="1" t="s">
        <v>44</v>
      </c>
      <c r="J616" s="1">
        <v>3</v>
      </c>
      <c r="K616" s="2">
        <v>604</v>
      </c>
      <c r="L616" s="5">
        <v>1630.8</v>
      </c>
      <c r="M616" s="5">
        <v>415.28</v>
      </c>
      <c r="N616" s="1" t="s">
        <v>89</v>
      </c>
      <c r="O616" s="1" t="s">
        <v>22</v>
      </c>
      <c r="P616" s="1" t="str">
        <f t="shared" si="9"/>
        <v>Low Value</v>
      </c>
    </row>
    <row r="617" spans="1:16" x14ac:dyDescent="0.35">
      <c r="A617" s="3" t="s">
        <v>1023</v>
      </c>
      <c r="B617" s="4">
        <v>45836</v>
      </c>
      <c r="C617" s="1" t="s">
        <v>180</v>
      </c>
      <c r="D617" s="1" t="s">
        <v>181</v>
      </c>
      <c r="E617" s="1" t="s">
        <v>166</v>
      </c>
      <c r="F617" s="1" t="s">
        <v>27</v>
      </c>
      <c r="G617" s="1" t="s">
        <v>254</v>
      </c>
      <c r="H617" s="1" t="s">
        <v>255</v>
      </c>
      <c r="I617" s="1" t="s">
        <v>30</v>
      </c>
      <c r="J617" s="1">
        <v>4</v>
      </c>
      <c r="K617" s="2">
        <v>799</v>
      </c>
      <c r="L617" s="5">
        <v>3196</v>
      </c>
      <c r="M617" s="5">
        <v>1077.22</v>
      </c>
      <c r="N617" s="1" t="s">
        <v>89</v>
      </c>
      <c r="O617" s="1" t="s">
        <v>22</v>
      </c>
      <c r="P617" s="1" t="str">
        <f t="shared" si="9"/>
        <v>Low Value</v>
      </c>
    </row>
    <row r="618" spans="1:16" x14ac:dyDescent="0.35">
      <c r="A618" s="3" t="s">
        <v>1024</v>
      </c>
      <c r="B618" s="4">
        <v>45917</v>
      </c>
      <c r="C618" s="1" t="s">
        <v>669</v>
      </c>
      <c r="D618" s="1" t="s">
        <v>670</v>
      </c>
      <c r="E618" s="1" t="s">
        <v>172</v>
      </c>
      <c r="F618" s="1" t="s">
        <v>173</v>
      </c>
      <c r="G618" s="1" t="s">
        <v>161</v>
      </c>
      <c r="H618" s="1" t="s">
        <v>162</v>
      </c>
      <c r="I618" s="1" t="s">
        <v>37</v>
      </c>
      <c r="J618" s="1">
        <v>5</v>
      </c>
      <c r="K618" s="2">
        <v>2069</v>
      </c>
      <c r="L618" s="5">
        <v>10345</v>
      </c>
      <c r="M618" s="5">
        <v>1497.85</v>
      </c>
      <c r="N618" s="1" t="s">
        <v>45</v>
      </c>
      <c r="O618" s="1" t="s">
        <v>22</v>
      </c>
      <c r="P618" s="1" t="str">
        <f t="shared" si="9"/>
        <v>High Value</v>
      </c>
    </row>
    <row r="619" spans="1:16" x14ac:dyDescent="0.35">
      <c r="A619" s="3" t="s">
        <v>1025</v>
      </c>
      <c r="B619" s="4">
        <v>45912</v>
      </c>
      <c r="C619" s="1" t="s">
        <v>368</v>
      </c>
      <c r="D619" s="1" t="s">
        <v>217</v>
      </c>
      <c r="E619" s="1" t="s">
        <v>101</v>
      </c>
      <c r="F619" s="1" t="s">
        <v>86</v>
      </c>
      <c r="G619" s="1" t="s">
        <v>177</v>
      </c>
      <c r="H619" s="1" t="s">
        <v>178</v>
      </c>
      <c r="I619" s="1" t="s">
        <v>20</v>
      </c>
      <c r="J619" s="1">
        <v>1</v>
      </c>
      <c r="K619" s="2">
        <v>2749</v>
      </c>
      <c r="L619" s="5">
        <v>2611.5500000000002</v>
      </c>
      <c r="M619" s="5">
        <v>477.17</v>
      </c>
      <c r="N619" s="1" t="s">
        <v>113</v>
      </c>
      <c r="O619" s="1" t="s">
        <v>22</v>
      </c>
      <c r="P619" s="1" t="str">
        <f t="shared" si="9"/>
        <v>Low Value</v>
      </c>
    </row>
    <row r="620" spans="1:16" x14ac:dyDescent="0.35">
      <c r="A620" s="3" t="s">
        <v>1026</v>
      </c>
      <c r="B620" s="4">
        <v>45890</v>
      </c>
      <c r="C620" s="1" t="s">
        <v>139</v>
      </c>
      <c r="D620" s="1" t="s">
        <v>140</v>
      </c>
      <c r="E620" s="1" t="s">
        <v>94</v>
      </c>
      <c r="F620" s="1" t="s">
        <v>27</v>
      </c>
      <c r="G620" s="1" t="s">
        <v>177</v>
      </c>
      <c r="H620" s="1" t="s">
        <v>178</v>
      </c>
      <c r="I620" s="1" t="s">
        <v>20</v>
      </c>
      <c r="J620" s="1">
        <v>3</v>
      </c>
      <c r="K620" s="2">
        <v>2499</v>
      </c>
      <c r="L620" s="5">
        <v>7497</v>
      </c>
      <c r="M620" s="5">
        <v>1699.67</v>
      </c>
      <c r="N620" s="1" t="s">
        <v>89</v>
      </c>
      <c r="O620" s="1" t="s">
        <v>22</v>
      </c>
      <c r="P620" s="1" t="str">
        <f t="shared" si="9"/>
        <v>Medium Value</v>
      </c>
    </row>
    <row r="621" spans="1:16" x14ac:dyDescent="0.35">
      <c r="A621" s="3" t="s">
        <v>1027</v>
      </c>
      <c r="B621" s="4">
        <v>45885</v>
      </c>
      <c r="C621" s="1" t="s">
        <v>327</v>
      </c>
      <c r="D621" s="1" t="s">
        <v>328</v>
      </c>
      <c r="E621" s="1" t="s">
        <v>111</v>
      </c>
      <c r="F621" s="1" t="s">
        <v>112</v>
      </c>
      <c r="G621" s="1" t="s">
        <v>87</v>
      </c>
      <c r="H621" s="1" t="s">
        <v>88</v>
      </c>
      <c r="I621" s="1" t="s">
        <v>52</v>
      </c>
      <c r="J621" s="1">
        <v>4</v>
      </c>
      <c r="K621" s="2">
        <v>7149</v>
      </c>
      <c r="L621" s="5">
        <v>22876.799999999999</v>
      </c>
      <c r="M621" s="5">
        <v>7266.63</v>
      </c>
      <c r="N621" s="1" t="s">
        <v>45</v>
      </c>
      <c r="O621" s="1" t="s">
        <v>136</v>
      </c>
      <c r="P621" s="1" t="str">
        <f t="shared" si="9"/>
        <v>High Value</v>
      </c>
    </row>
    <row r="622" spans="1:16" x14ac:dyDescent="0.35">
      <c r="A622" s="3" t="s">
        <v>1028</v>
      </c>
      <c r="B622" s="4">
        <v>45774</v>
      </c>
      <c r="C622" s="1" t="s">
        <v>486</v>
      </c>
      <c r="D622" s="1" t="s">
        <v>487</v>
      </c>
      <c r="E622" s="1" t="s">
        <v>141</v>
      </c>
      <c r="F622" s="1" t="s">
        <v>69</v>
      </c>
      <c r="G622" s="1" t="s">
        <v>87</v>
      </c>
      <c r="H622" s="1" t="s">
        <v>88</v>
      </c>
      <c r="I622" s="1" t="s">
        <v>52</v>
      </c>
      <c r="J622" s="1">
        <v>4</v>
      </c>
      <c r="K622" s="2">
        <v>6499</v>
      </c>
      <c r="L622" s="5">
        <v>25996</v>
      </c>
      <c r="M622" s="5">
        <v>3540.05</v>
      </c>
      <c r="N622" s="1" t="s">
        <v>21</v>
      </c>
      <c r="O622" s="1" t="s">
        <v>22</v>
      </c>
      <c r="P622" s="1" t="str">
        <f t="shared" si="9"/>
        <v>High Value</v>
      </c>
    </row>
    <row r="623" spans="1:16" x14ac:dyDescent="0.35">
      <c r="A623" s="3" t="s">
        <v>1029</v>
      </c>
      <c r="B623" s="4">
        <v>45732</v>
      </c>
      <c r="C623" s="1" t="s">
        <v>188</v>
      </c>
      <c r="D623" s="1" t="s">
        <v>189</v>
      </c>
      <c r="E623" s="1" t="s">
        <v>172</v>
      </c>
      <c r="F623" s="1" t="s">
        <v>173</v>
      </c>
      <c r="G623" s="1" t="s">
        <v>198</v>
      </c>
      <c r="H623" s="1" t="s">
        <v>199</v>
      </c>
      <c r="I623" s="1" t="s">
        <v>37</v>
      </c>
      <c r="J623" s="1">
        <v>7</v>
      </c>
      <c r="K623" s="2">
        <v>699</v>
      </c>
      <c r="L623" s="5">
        <v>4893</v>
      </c>
      <c r="M623" s="5">
        <v>1079.9000000000001</v>
      </c>
      <c r="N623" s="1" t="s">
        <v>45</v>
      </c>
      <c r="O623" s="1" t="s">
        <v>22</v>
      </c>
      <c r="P623" s="1" t="str">
        <f t="shared" si="9"/>
        <v>Low Value</v>
      </c>
    </row>
    <row r="624" spans="1:16" x14ac:dyDescent="0.35">
      <c r="A624" s="3" t="s">
        <v>1030</v>
      </c>
      <c r="B624" s="4">
        <v>45761</v>
      </c>
      <c r="C624" s="1" t="s">
        <v>402</v>
      </c>
      <c r="D624" s="1" t="s">
        <v>40</v>
      </c>
      <c r="E624" s="1" t="s">
        <v>85</v>
      </c>
      <c r="F624" s="1" t="s">
        <v>86</v>
      </c>
      <c r="G624" s="1" t="s">
        <v>177</v>
      </c>
      <c r="H624" s="1" t="s">
        <v>178</v>
      </c>
      <c r="I624" s="1" t="s">
        <v>20</v>
      </c>
      <c r="J624" s="1">
        <v>1</v>
      </c>
      <c r="K624" s="2">
        <v>2499</v>
      </c>
      <c r="L624" s="5">
        <v>2499</v>
      </c>
      <c r="M624" s="5">
        <v>360.97</v>
      </c>
      <c r="N624" s="1" t="s">
        <v>113</v>
      </c>
      <c r="O624" s="1" t="s">
        <v>22</v>
      </c>
      <c r="P624" s="1" t="str">
        <f t="shared" si="9"/>
        <v>Low Value</v>
      </c>
    </row>
    <row r="625" spans="1:16" x14ac:dyDescent="0.35">
      <c r="A625" s="3" t="s">
        <v>1031</v>
      </c>
      <c r="B625" s="4">
        <v>45833</v>
      </c>
      <c r="C625" s="1" t="s">
        <v>669</v>
      </c>
      <c r="D625" s="1" t="s">
        <v>670</v>
      </c>
      <c r="E625" s="1" t="s">
        <v>49</v>
      </c>
      <c r="F625" s="1" t="s">
        <v>49</v>
      </c>
      <c r="G625" s="1" t="s">
        <v>131</v>
      </c>
      <c r="H625" s="1" t="s">
        <v>132</v>
      </c>
      <c r="I625" s="1" t="s">
        <v>44</v>
      </c>
      <c r="J625" s="1">
        <v>3</v>
      </c>
      <c r="K625" s="2">
        <v>604</v>
      </c>
      <c r="L625" s="5">
        <v>1540.2</v>
      </c>
      <c r="M625" s="5">
        <v>491.67</v>
      </c>
      <c r="N625" s="1" t="s">
        <v>21</v>
      </c>
      <c r="O625" s="1" t="s">
        <v>53</v>
      </c>
      <c r="P625" s="1" t="str">
        <f t="shared" si="9"/>
        <v>Low Value</v>
      </c>
    </row>
    <row r="626" spans="1:16" x14ac:dyDescent="0.35">
      <c r="A626" s="3" t="s">
        <v>1032</v>
      </c>
      <c r="B626" s="4">
        <v>45702</v>
      </c>
      <c r="C626" s="1" t="s">
        <v>618</v>
      </c>
      <c r="D626" s="1" t="s">
        <v>619</v>
      </c>
      <c r="E626" s="1" t="s">
        <v>41</v>
      </c>
      <c r="F626" s="1" t="s">
        <v>17</v>
      </c>
      <c r="G626" s="1" t="s">
        <v>105</v>
      </c>
      <c r="H626" s="1" t="s">
        <v>106</v>
      </c>
      <c r="I626" s="1" t="s">
        <v>107</v>
      </c>
      <c r="J626" s="1">
        <v>4</v>
      </c>
      <c r="K626" s="2">
        <v>1049</v>
      </c>
      <c r="L626" s="5">
        <v>3776.4</v>
      </c>
      <c r="M626" s="5">
        <v>1148.55</v>
      </c>
      <c r="N626" s="1" t="s">
        <v>59</v>
      </c>
      <c r="O626" s="1" t="s">
        <v>22</v>
      </c>
      <c r="P626" s="1" t="str">
        <f t="shared" si="9"/>
        <v>Low Value</v>
      </c>
    </row>
    <row r="627" spans="1:16" x14ac:dyDescent="0.35">
      <c r="A627" s="3" t="s">
        <v>1033</v>
      </c>
      <c r="B627" s="4">
        <v>45784</v>
      </c>
      <c r="C627" s="1" t="s">
        <v>92</v>
      </c>
      <c r="D627" s="1" t="s">
        <v>93</v>
      </c>
      <c r="E627" s="1" t="s">
        <v>111</v>
      </c>
      <c r="F627" s="1" t="s">
        <v>112</v>
      </c>
      <c r="G627" s="1" t="s">
        <v>87</v>
      </c>
      <c r="H627" s="1" t="s">
        <v>88</v>
      </c>
      <c r="I627" s="1" t="s">
        <v>52</v>
      </c>
      <c r="J627" s="1">
        <v>4</v>
      </c>
      <c r="K627" s="2">
        <v>6824</v>
      </c>
      <c r="L627" s="5">
        <v>27296</v>
      </c>
      <c r="M627" s="5">
        <v>8762.73</v>
      </c>
      <c r="N627" s="1" t="s">
        <v>89</v>
      </c>
      <c r="O627" s="1" t="s">
        <v>22</v>
      </c>
      <c r="P627" s="1" t="str">
        <f t="shared" si="9"/>
        <v>High Value</v>
      </c>
    </row>
    <row r="628" spans="1:16" x14ac:dyDescent="0.35">
      <c r="A628" s="3" t="s">
        <v>1034</v>
      </c>
      <c r="B628" s="4">
        <v>45678</v>
      </c>
      <c r="C628" s="1" t="s">
        <v>666</v>
      </c>
      <c r="D628" s="1" t="s">
        <v>667</v>
      </c>
      <c r="E628" s="1" t="s">
        <v>41</v>
      </c>
      <c r="F628" s="1" t="s">
        <v>17</v>
      </c>
      <c r="G628" s="1" t="s">
        <v>177</v>
      </c>
      <c r="H628" s="1" t="s">
        <v>178</v>
      </c>
      <c r="I628" s="1" t="s">
        <v>20</v>
      </c>
      <c r="J628" s="1">
        <v>7</v>
      </c>
      <c r="K628" s="2">
        <v>2624</v>
      </c>
      <c r="L628" s="5">
        <v>16531.2</v>
      </c>
      <c r="M628" s="5">
        <v>3726.78</v>
      </c>
      <c r="N628" s="1" t="s">
        <v>89</v>
      </c>
      <c r="O628" s="1" t="s">
        <v>22</v>
      </c>
      <c r="P628" s="1" t="str">
        <f t="shared" si="9"/>
        <v>High Value</v>
      </c>
    </row>
    <row r="629" spans="1:16" x14ac:dyDescent="0.35">
      <c r="A629" s="3" t="s">
        <v>1035</v>
      </c>
      <c r="B629" s="4">
        <v>45700</v>
      </c>
      <c r="C629" s="1" t="s">
        <v>342</v>
      </c>
      <c r="D629" s="1" t="s">
        <v>343</v>
      </c>
      <c r="E629" s="1" t="s">
        <v>166</v>
      </c>
      <c r="F629" s="1" t="s">
        <v>27</v>
      </c>
      <c r="G629" s="1" t="s">
        <v>87</v>
      </c>
      <c r="H629" s="1" t="s">
        <v>88</v>
      </c>
      <c r="I629" s="1" t="s">
        <v>52</v>
      </c>
      <c r="J629" s="1">
        <v>4</v>
      </c>
      <c r="K629" s="2">
        <v>6499</v>
      </c>
      <c r="L629" s="5">
        <v>24696.2</v>
      </c>
      <c r="M629" s="5">
        <v>4570.62</v>
      </c>
      <c r="N629" s="1" t="s">
        <v>89</v>
      </c>
      <c r="O629" s="1" t="s">
        <v>22</v>
      </c>
      <c r="P629" s="1" t="str">
        <f t="shared" si="9"/>
        <v>High Value</v>
      </c>
    </row>
    <row r="630" spans="1:16" x14ac:dyDescent="0.35">
      <c r="A630" s="3" t="s">
        <v>1036</v>
      </c>
      <c r="B630" s="4">
        <v>45814</v>
      </c>
      <c r="C630" s="1" t="s">
        <v>1037</v>
      </c>
      <c r="D630" s="1" t="s">
        <v>1038</v>
      </c>
      <c r="E630" s="1" t="s">
        <v>172</v>
      </c>
      <c r="F630" s="1" t="s">
        <v>173</v>
      </c>
      <c r="G630" s="1" t="s">
        <v>28</v>
      </c>
      <c r="H630" s="1" t="s">
        <v>29</v>
      </c>
      <c r="I630" s="1" t="s">
        <v>30</v>
      </c>
      <c r="J630" s="1">
        <v>1</v>
      </c>
      <c r="K630" s="2">
        <v>1599</v>
      </c>
      <c r="L630" s="5">
        <v>1439.1</v>
      </c>
      <c r="M630" s="5">
        <v>417.06</v>
      </c>
      <c r="N630" s="1" t="s">
        <v>113</v>
      </c>
      <c r="O630" s="1" t="s">
        <v>22</v>
      </c>
      <c r="P630" s="1" t="str">
        <f t="shared" si="9"/>
        <v>Low Value</v>
      </c>
    </row>
    <row r="631" spans="1:16" x14ac:dyDescent="0.35">
      <c r="A631" s="3" t="s">
        <v>1039</v>
      </c>
      <c r="B631" s="4">
        <v>45978</v>
      </c>
      <c r="C631" s="1" t="s">
        <v>175</v>
      </c>
      <c r="D631" s="1" t="s">
        <v>176</v>
      </c>
      <c r="E631" s="1" t="s">
        <v>166</v>
      </c>
      <c r="F631" s="1" t="s">
        <v>27</v>
      </c>
      <c r="G631" s="1" t="s">
        <v>182</v>
      </c>
      <c r="H631" s="1" t="s">
        <v>183</v>
      </c>
      <c r="I631" s="1" t="s">
        <v>20</v>
      </c>
      <c r="J631" s="1">
        <v>7</v>
      </c>
      <c r="K631" s="2">
        <v>1979</v>
      </c>
      <c r="L631" s="5">
        <v>13160.35</v>
      </c>
      <c r="M631" s="5">
        <v>3116.4</v>
      </c>
      <c r="N631" s="1" t="s">
        <v>59</v>
      </c>
      <c r="O631" s="1" t="s">
        <v>22</v>
      </c>
      <c r="P631" s="1" t="str">
        <f t="shared" si="9"/>
        <v>High Value</v>
      </c>
    </row>
    <row r="632" spans="1:16" x14ac:dyDescent="0.35">
      <c r="A632" s="3" t="s">
        <v>1040</v>
      </c>
      <c r="B632" s="4">
        <v>46015</v>
      </c>
      <c r="C632" s="1" t="s">
        <v>460</v>
      </c>
      <c r="D632" s="1" t="s">
        <v>461</v>
      </c>
      <c r="E632" s="1" t="s">
        <v>80</v>
      </c>
      <c r="F632" s="1" t="s">
        <v>81</v>
      </c>
      <c r="G632" s="1" t="s">
        <v>28</v>
      </c>
      <c r="H632" s="1" t="s">
        <v>29</v>
      </c>
      <c r="I632" s="1" t="s">
        <v>30</v>
      </c>
      <c r="J632" s="1">
        <v>4</v>
      </c>
      <c r="K632" s="2">
        <v>1759</v>
      </c>
      <c r="L632" s="5">
        <v>7036</v>
      </c>
      <c r="M632" s="5">
        <v>1804.74</v>
      </c>
      <c r="N632" s="1" t="s">
        <v>59</v>
      </c>
      <c r="O632" s="1" t="s">
        <v>22</v>
      </c>
      <c r="P632" s="1" t="str">
        <f t="shared" si="9"/>
        <v>Medium Value</v>
      </c>
    </row>
    <row r="633" spans="1:16" x14ac:dyDescent="0.35">
      <c r="A633" s="3" t="s">
        <v>1041</v>
      </c>
      <c r="B633" s="4">
        <v>45921</v>
      </c>
      <c r="C633" s="1" t="s">
        <v>305</v>
      </c>
      <c r="D633" s="1" t="s">
        <v>306</v>
      </c>
      <c r="E633" s="1" t="s">
        <v>312</v>
      </c>
      <c r="F633" s="1" t="s">
        <v>112</v>
      </c>
      <c r="G633" s="1" t="s">
        <v>177</v>
      </c>
      <c r="H633" s="1" t="s">
        <v>178</v>
      </c>
      <c r="I633" s="1" t="s">
        <v>20</v>
      </c>
      <c r="J633" s="1">
        <v>2</v>
      </c>
      <c r="K633" s="2">
        <v>2499</v>
      </c>
      <c r="L633" s="5">
        <v>4748.1000000000004</v>
      </c>
      <c r="M633" s="5">
        <v>1055.8699999999999</v>
      </c>
      <c r="N633" s="1" t="s">
        <v>89</v>
      </c>
      <c r="O633" s="1" t="s">
        <v>22</v>
      </c>
      <c r="P633" s="1" t="str">
        <f t="shared" si="9"/>
        <v>Low Value</v>
      </c>
    </row>
    <row r="634" spans="1:16" x14ac:dyDescent="0.35">
      <c r="A634" s="3" t="s">
        <v>1042</v>
      </c>
      <c r="B634" s="4">
        <v>45989</v>
      </c>
      <c r="C634" s="1" t="s">
        <v>384</v>
      </c>
      <c r="D634" s="1" t="s">
        <v>306</v>
      </c>
      <c r="E634" s="1" t="s">
        <v>34</v>
      </c>
      <c r="F634" s="1" t="s">
        <v>27</v>
      </c>
      <c r="G634" s="1" t="s">
        <v>254</v>
      </c>
      <c r="H634" s="1" t="s">
        <v>255</v>
      </c>
      <c r="I634" s="1" t="s">
        <v>30</v>
      </c>
      <c r="J634" s="1">
        <v>4</v>
      </c>
      <c r="K634" s="2">
        <v>799</v>
      </c>
      <c r="L634" s="5">
        <v>3036.2</v>
      </c>
      <c r="M634" s="5">
        <v>523.74</v>
      </c>
      <c r="N634" s="1" t="s">
        <v>89</v>
      </c>
      <c r="O634" s="1" t="s">
        <v>22</v>
      </c>
      <c r="P634" s="1" t="str">
        <f t="shared" si="9"/>
        <v>Low Value</v>
      </c>
    </row>
    <row r="635" spans="1:16" x14ac:dyDescent="0.35">
      <c r="A635" s="3" t="s">
        <v>1043</v>
      </c>
      <c r="B635" s="4">
        <v>45955</v>
      </c>
      <c r="C635" s="1" t="s">
        <v>291</v>
      </c>
      <c r="D635" s="1" t="s">
        <v>292</v>
      </c>
      <c r="E635" s="1" t="s">
        <v>236</v>
      </c>
      <c r="F635" s="1" t="s">
        <v>86</v>
      </c>
      <c r="G635" s="1" t="s">
        <v>35</v>
      </c>
      <c r="H635" s="1" t="s">
        <v>36</v>
      </c>
      <c r="I635" s="1" t="s">
        <v>37</v>
      </c>
      <c r="J635" s="1">
        <v>6</v>
      </c>
      <c r="K635" s="2">
        <v>1299</v>
      </c>
      <c r="L635" s="5">
        <v>7404.3</v>
      </c>
      <c r="M635" s="5">
        <v>1708.8</v>
      </c>
      <c r="N635" s="1" t="s">
        <v>113</v>
      </c>
      <c r="O635" s="1" t="s">
        <v>22</v>
      </c>
      <c r="P635" s="1" t="str">
        <f t="shared" si="9"/>
        <v>Medium Value</v>
      </c>
    </row>
    <row r="636" spans="1:16" x14ac:dyDescent="0.35">
      <c r="A636" s="3" t="s">
        <v>1044</v>
      </c>
      <c r="B636" s="4">
        <v>45848</v>
      </c>
      <c r="C636" s="1" t="s">
        <v>480</v>
      </c>
      <c r="D636" s="1" t="s">
        <v>481</v>
      </c>
      <c r="E636" s="1" t="s">
        <v>172</v>
      </c>
      <c r="F636" s="1" t="s">
        <v>173</v>
      </c>
      <c r="G636" s="1" t="s">
        <v>105</v>
      </c>
      <c r="H636" s="1" t="s">
        <v>106</v>
      </c>
      <c r="I636" s="1" t="s">
        <v>107</v>
      </c>
      <c r="J636" s="1">
        <v>2</v>
      </c>
      <c r="K636" s="2">
        <v>999</v>
      </c>
      <c r="L636" s="5">
        <v>1598.4</v>
      </c>
      <c r="M636" s="5">
        <v>378.85</v>
      </c>
      <c r="N636" s="1" t="s">
        <v>21</v>
      </c>
      <c r="O636" s="1" t="s">
        <v>90</v>
      </c>
      <c r="P636" s="1" t="str">
        <f t="shared" si="9"/>
        <v>Low Value</v>
      </c>
    </row>
    <row r="637" spans="1:16" x14ac:dyDescent="0.35">
      <c r="A637" s="3" t="s">
        <v>1045</v>
      </c>
      <c r="B637" s="4">
        <v>45975</v>
      </c>
      <c r="C637" s="1" t="s">
        <v>538</v>
      </c>
      <c r="D637" s="1" t="s">
        <v>539</v>
      </c>
      <c r="E637" s="1" t="s">
        <v>34</v>
      </c>
      <c r="F637" s="1" t="s">
        <v>27</v>
      </c>
      <c r="G637" s="1" t="s">
        <v>161</v>
      </c>
      <c r="H637" s="1" t="s">
        <v>162</v>
      </c>
      <c r="I637" s="1" t="s">
        <v>37</v>
      </c>
      <c r="J637" s="1">
        <v>8</v>
      </c>
      <c r="K637" s="2">
        <v>2069</v>
      </c>
      <c r="L637" s="5">
        <v>16552</v>
      </c>
      <c r="M637" s="5">
        <v>3408.89</v>
      </c>
      <c r="N637" s="1" t="s">
        <v>45</v>
      </c>
      <c r="O637" s="1" t="s">
        <v>22</v>
      </c>
      <c r="P637" s="1" t="str">
        <f t="shared" si="9"/>
        <v>High Value</v>
      </c>
    </row>
    <row r="638" spans="1:16" x14ac:dyDescent="0.35">
      <c r="A638" s="3" t="s">
        <v>1046</v>
      </c>
      <c r="B638" s="4">
        <v>45713</v>
      </c>
      <c r="C638" s="1" t="s">
        <v>170</v>
      </c>
      <c r="D638" s="1" t="s">
        <v>171</v>
      </c>
      <c r="E638" s="1" t="s">
        <v>68</v>
      </c>
      <c r="F638" s="1" t="s">
        <v>69</v>
      </c>
      <c r="G638" s="1" t="s">
        <v>120</v>
      </c>
      <c r="H638" s="1" t="s">
        <v>121</v>
      </c>
      <c r="I638" s="1" t="s">
        <v>20</v>
      </c>
      <c r="J638" s="1">
        <v>3</v>
      </c>
      <c r="K638" s="2">
        <v>1499</v>
      </c>
      <c r="L638" s="5">
        <v>4497</v>
      </c>
      <c r="M638" s="5">
        <v>1405.31</v>
      </c>
      <c r="N638" s="1" t="s">
        <v>21</v>
      </c>
      <c r="O638" s="1" t="s">
        <v>53</v>
      </c>
      <c r="P638" s="1" t="str">
        <f t="shared" si="9"/>
        <v>Low Value</v>
      </c>
    </row>
    <row r="639" spans="1:16" x14ac:dyDescent="0.35">
      <c r="A639" s="3" t="s">
        <v>1047</v>
      </c>
      <c r="B639" s="4">
        <v>45808</v>
      </c>
      <c r="C639" s="1" t="s">
        <v>466</v>
      </c>
      <c r="D639" s="1" t="s">
        <v>467</v>
      </c>
      <c r="E639" s="1" t="s">
        <v>80</v>
      </c>
      <c r="F639" s="1" t="s">
        <v>81</v>
      </c>
      <c r="G639" s="1" t="s">
        <v>18</v>
      </c>
      <c r="H639" s="1" t="s">
        <v>19</v>
      </c>
      <c r="I639" s="1" t="s">
        <v>20</v>
      </c>
      <c r="J639" s="1">
        <v>8</v>
      </c>
      <c r="K639" s="2">
        <v>3999</v>
      </c>
      <c r="L639" s="5">
        <v>28792.799999999999</v>
      </c>
      <c r="M639" s="5">
        <v>6266.73</v>
      </c>
      <c r="N639" s="1" t="s">
        <v>89</v>
      </c>
      <c r="O639" s="1" t="s">
        <v>22</v>
      </c>
      <c r="P639" s="1" t="str">
        <f t="shared" si="9"/>
        <v>High Value</v>
      </c>
    </row>
    <row r="640" spans="1:16" x14ac:dyDescent="0.35">
      <c r="A640" s="3" t="s">
        <v>1048</v>
      </c>
      <c r="B640" s="4">
        <v>45669</v>
      </c>
      <c r="C640" s="1" t="s">
        <v>392</v>
      </c>
      <c r="D640" s="1" t="s">
        <v>393</v>
      </c>
      <c r="E640" s="1" t="s">
        <v>41</v>
      </c>
      <c r="F640" s="1" t="s">
        <v>17</v>
      </c>
      <c r="G640" s="1" t="s">
        <v>42</v>
      </c>
      <c r="H640" s="1" t="s">
        <v>43</v>
      </c>
      <c r="I640" s="1" t="s">
        <v>44</v>
      </c>
      <c r="J640" s="1">
        <v>7</v>
      </c>
      <c r="K640" s="2">
        <v>944</v>
      </c>
      <c r="L640" s="5">
        <v>6277.6</v>
      </c>
      <c r="M640" s="5">
        <v>1658.96</v>
      </c>
      <c r="N640" s="1" t="s">
        <v>59</v>
      </c>
      <c r="O640" s="1" t="s">
        <v>22</v>
      </c>
      <c r="P640" s="1" t="str">
        <f t="shared" si="9"/>
        <v>Medium Value</v>
      </c>
    </row>
    <row r="641" spans="1:16" x14ac:dyDescent="0.35">
      <c r="A641" s="3" t="s">
        <v>1049</v>
      </c>
      <c r="B641" s="4">
        <v>46014</v>
      </c>
      <c r="C641" s="1" t="s">
        <v>150</v>
      </c>
      <c r="D641" s="1" t="s">
        <v>151</v>
      </c>
      <c r="E641" s="1" t="s">
        <v>80</v>
      </c>
      <c r="F641" s="1" t="s">
        <v>81</v>
      </c>
      <c r="G641" s="1" t="s">
        <v>50</v>
      </c>
      <c r="H641" s="1" t="s">
        <v>51</v>
      </c>
      <c r="I641" s="1" t="s">
        <v>52</v>
      </c>
      <c r="J641" s="1">
        <v>8</v>
      </c>
      <c r="K641" s="2">
        <v>7999</v>
      </c>
      <c r="L641" s="5">
        <v>54393.2</v>
      </c>
      <c r="M641" s="5">
        <v>8106.22</v>
      </c>
      <c r="N641" s="1" t="s">
        <v>59</v>
      </c>
      <c r="O641" s="1" t="s">
        <v>22</v>
      </c>
      <c r="P641" s="1" t="str">
        <f t="shared" si="9"/>
        <v>High Value</v>
      </c>
    </row>
    <row r="642" spans="1:16" x14ac:dyDescent="0.35">
      <c r="A642" s="3" t="s">
        <v>1050</v>
      </c>
      <c r="B642" s="4">
        <v>45774</v>
      </c>
      <c r="C642" s="1" t="s">
        <v>396</v>
      </c>
      <c r="D642" s="1" t="s">
        <v>366</v>
      </c>
      <c r="E642" s="1" t="s">
        <v>312</v>
      </c>
      <c r="F642" s="1" t="s">
        <v>112</v>
      </c>
      <c r="G642" s="1" t="s">
        <v>70</v>
      </c>
      <c r="H642" s="1" t="s">
        <v>71</v>
      </c>
      <c r="I642" s="1" t="s">
        <v>44</v>
      </c>
      <c r="J642" s="1">
        <v>1</v>
      </c>
      <c r="K642" s="2">
        <v>3299</v>
      </c>
      <c r="L642" s="5">
        <v>3134.05</v>
      </c>
      <c r="M642" s="5">
        <v>572.16</v>
      </c>
      <c r="N642" s="1" t="s">
        <v>45</v>
      </c>
      <c r="O642" s="1" t="s">
        <v>22</v>
      </c>
      <c r="P642" s="1" t="str">
        <f t="shared" ref="P642:P705" si="10">IF(L642&gt;=10000,"High Value",IF(L642&gt;=5000,"Medium Value","Low Value"))</f>
        <v>Low Value</v>
      </c>
    </row>
    <row r="643" spans="1:16" x14ac:dyDescent="0.35">
      <c r="A643" s="3" t="s">
        <v>1051</v>
      </c>
      <c r="B643" s="4">
        <v>46022</v>
      </c>
      <c r="C643" s="1" t="s">
        <v>507</v>
      </c>
      <c r="D643" s="1" t="s">
        <v>508</v>
      </c>
      <c r="E643" s="1" t="s">
        <v>49</v>
      </c>
      <c r="F643" s="1" t="s">
        <v>49</v>
      </c>
      <c r="G643" s="1" t="s">
        <v>198</v>
      </c>
      <c r="H643" s="1" t="s">
        <v>199</v>
      </c>
      <c r="I643" s="1" t="s">
        <v>37</v>
      </c>
      <c r="J643" s="1">
        <v>3</v>
      </c>
      <c r="K643" s="2">
        <v>769</v>
      </c>
      <c r="L643" s="5">
        <v>1845.6</v>
      </c>
      <c r="M643" s="5">
        <v>588.80999999999995</v>
      </c>
      <c r="N643" s="1" t="s">
        <v>45</v>
      </c>
      <c r="O643" s="1" t="s">
        <v>22</v>
      </c>
      <c r="P643" s="1" t="str">
        <f t="shared" si="10"/>
        <v>Low Value</v>
      </c>
    </row>
    <row r="644" spans="1:16" x14ac:dyDescent="0.35">
      <c r="A644" s="3" t="s">
        <v>1052</v>
      </c>
      <c r="B644" s="4">
        <v>45679</v>
      </c>
      <c r="C644" s="1" t="s">
        <v>624</v>
      </c>
      <c r="D644" s="1" t="s">
        <v>625</v>
      </c>
      <c r="E644" s="1" t="s">
        <v>85</v>
      </c>
      <c r="F644" s="1" t="s">
        <v>86</v>
      </c>
      <c r="G644" s="1" t="s">
        <v>50</v>
      </c>
      <c r="H644" s="1" t="s">
        <v>51</v>
      </c>
      <c r="I644" s="1" t="s">
        <v>52</v>
      </c>
      <c r="J644" s="1">
        <v>5</v>
      </c>
      <c r="K644" s="2">
        <v>7999</v>
      </c>
      <c r="L644" s="5">
        <v>39995</v>
      </c>
      <c r="M644" s="5">
        <v>6604.54</v>
      </c>
      <c r="N644" s="1" t="s">
        <v>89</v>
      </c>
      <c r="O644" s="1" t="s">
        <v>22</v>
      </c>
      <c r="P644" s="1" t="str">
        <f t="shared" si="10"/>
        <v>High Value</v>
      </c>
    </row>
    <row r="645" spans="1:16" x14ac:dyDescent="0.35">
      <c r="A645" s="3" t="s">
        <v>1053</v>
      </c>
      <c r="B645" s="4">
        <v>45733</v>
      </c>
      <c r="C645" s="1" t="s">
        <v>379</v>
      </c>
      <c r="D645" s="1" t="s">
        <v>380</v>
      </c>
      <c r="E645" s="1" t="s">
        <v>172</v>
      </c>
      <c r="F645" s="1" t="s">
        <v>173</v>
      </c>
      <c r="G645" s="1" t="s">
        <v>254</v>
      </c>
      <c r="H645" s="1" t="s">
        <v>255</v>
      </c>
      <c r="I645" s="1" t="s">
        <v>30</v>
      </c>
      <c r="J645" s="1">
        <v>3</v>
      </c>
      <c r="K645" s="2">
        <v>839</v>
      </c>
      <c r="L645" s="5">
        <v>2391.15</v>
      </c>
      <c r="M645" s="5">
        <v>350.85</v>
      </c>
      <c r="N645" s="1" t="s">
        <v>89</v>
      </c>
      <c r="O645" s="1" t="s">
        <v>22</v>
      </c>
      <c r="P645" s="1" t="str">
        <f t="shared" si="10"/>
        <v>Low Value</v>
      </c>
    </row>
    <row r="646" spans="1:16" x14ac:dyDescent="0.35">
      <c r="A646" s="3" t="s">
        <v>1054</v>
      </c>
      <c r="B646" s="4">
        <v>45732</v>
      </c>
      <c r="C646" s="1" t="s">
        <v>473</v>
      </c>
      <c r="D646" s="1" t="s">
        <v>474</v>
      </c>
      <c r="E646" s="1" t="s">
        <v>111</v>
      </c>
      <c r="F646" s="1" t="s">
        <v>112</v>
      </c>
      <c r="G646" s="1" t="s">
        <v>18</v>
      </c>
      <c r="H646" s="1" t="s">
        <v>19</v>
      </c>
      <c r="I646" s="1" t="s">
        <v>20</v>
      </c>
      <c r="J646" s="1">
        <v>1</v>
      </c>
      <c r="K646" s="2">
        <v>4399</v>
      </c>
      <c r="L646" s="5">
        <v>3739.15</v>
      </c>
      <c r="M646" s="5">
        <v>1251.24</v>
      </c>
      <c r="N646" s="1" t="s">
        <v>59</v>
      </c>
      <c r="O646" s="1" t="s">
        <v>22</v>
      </c>
      <c r="P646" s="1" t="str">
        <f t="shared" si="10"/>
        <v>Low Value</v>
      </c>
    </row>
    <row r="647" spans="1:16" x14ac:dyDescent="0.35">
      <c r="A647" s="3" t="s">
        <v>1055</v>
      </c>
      <c r="B647" s="4">
        <v>45900</v>
      </c>
      <c r="C647" s="1" t="s">
        <v>735</v>
      </c>
      <c r="D647" s="1" t="s">
        <v>736</v>
      </c>
      <c r="E647" s="1" t="s">
        <v>85</v>
      </c>
      <c r="F647" s="1" t="s">
        <v>86</v>
      </c>
      <c r="G647" s="1" t="s">
        <v>28</v>
      </c>
      <c r="H647" s="1" t="s">
        <v>29</v>
      </c>
      <c r="I647" s="1" t="s">
        <v>30</v>
      </c>
      <c r="J647" s="1">
        <v>8</v>
      </c>
      <c r="K647" s="2">
        <v>1599</v>
      </c>
      <c r="L647" s="5">
        <v>10233.6</v>
      </c>
      <c r="M647" s="5">
        <v>1480.9</v>
      </c>
      <c r="N647" s="1" t="s">
        <v>113</v>
      </c>
      <c r="O647" s="1" t="s">
        <v>90</v>
      </c>
      <c r="P647" s="1" t="str">
        <f t="shared" si="10"/>
        <v>High Value</v>
      </c>
    </row>
    <row r="648" spans="1:16" x14ac:dyDescent="0.35">
      <c r="A648" s="3" t="s">
        <v>1056</v>
      </c>
      <c r="B648" s="4">
        <v>46005</v>
      </c>
      <c r="C648" s="1" t="s">
        <v>83</v>
      </c>
      <c r="D648" s="1" t="s">
        <v>84</v>
      </c>
      <c r="E648" s="1" t="s">
        <v>94</v>
      </c>
      <c r="F648" s="1" t="s">
        <v>27</v>
      </c>
      <c r="G648" s="1" t="s">
        <v>70</v>
      </c>
      <c r="H648" s="1" t="s">
        <v>71</v>
      </c>
      <c r="I648" s="1" t="s">
        <v>44</v>
      </c>
      <c r="J648" s="1">
        <v>1</v>
      </c>
      <c r="K648" s="2">
        <v>3299</v>
      </c>
      <c r="L648" s="5">
        <v>2804.15</v>
      </c>
      <c r="M648" s="5">
        <v>855.25</v>
      </c>
      <c r="N648" s="1" t="s">
        <v>113</v>
      </c>
      <c r="O648" s="1" t="s">
        <v>22</v>
      </c>
      <c r="P648" s="1" t="str">
        <f t="shared" si="10"/>
        <v>Low Value</v>
      </c>
    </row>
    <row r="649" spans="1:16" x14ac:dyDescent="0.35">
      <c r="A649" s="3" t="s">
        <v>1057</v>
      </c>
      <c r="B649" s="4">
        <v>45686</v>
      </c>
      <c r="C649" s="1" t="s">
        <v>134</v>
      </c>
      <c r="D649" s="1" t="s">
        <v>135</v>
      </c>
      <c r="E649" s="1" t="s">
        <v>236</v>
      </c>
      <c r="F649" s="1" t="s">
        <v>86</v>
      </c>
      <c r="G649" s="1" t="s">
        <v>28</v>
      </c>
      <c r="H649" s="1" t="s">
        <v>29</v>
      </c>
      <c r="I649" s="1" t="s">
        <v>30</v>
      </c>
      <c r="J649" s="1">
        <v>4</v>
      </c>
      <c r="K649" s="2">
        <v>1599</v>
      </c>
      <c r="L649" s="5">
        <v>6396</v>
      </c>
      <c r="M649" s="5">
        <v>799.25</v>
      </c>
      <c r="N649" s="1" t="s">
        <v>21</v>
      </c>
      <c r="O649" s="1" t="s">
        <v>136</v>
      </c>
      <c r="P649" s="1" t="str">
        <f t="shared" si="10"/>
        <v>Medium Value</v>
      </c>
    </row>
    <row r="650" spans="1:16" x14ac:dyDescent="0.35">
      <c r="A650" s="3" t="s">
        <v>1058</v>
      </c>
      <c r="B650" s="4">
        <v>46001</v>
      </c>
      <c r="C650" s="1" t="s">
        <v>730</v>
      </c>
      <c r="D650" s="1" t="s">
        <v>731</v>
      </c>
      <c r="E650" s="1" t="s">
        <v>41</v>
      </c>
      <c r="F650" s="1" t="s">
        <v>17</v>
      </c>
      <c r="G650" s="1" t="s">
        <v>262</v>
      </c>
      <c r="H650" s="1" t="s">
        <v>263</v>
      </c>
      <c r="I650" s="1" t="s">
        <v>97</v>
      </c>
      <c r="J650" s="1">
        <v>4</v>
      </c>
      <c r="K650" s="2">
        <v>149</v>
      </c>
      <c r="L650" s="5">
        <v>566.20000000000005</v>
      </c>
      <c r="M650" s="5">
        <v>143.08000000000001</v>
      </c>
      <c r="N650" s="1" t="s">
        <v>21</v>
      </c>
      <c r="O650" s="1" t="s">
        <v>53</v>
      </c>
      <c r="P650" s="1" t="str">
        <f t="shared" si="10"/>
        <v>Low Value</v>
      </c>
    </row>
    <row r="651" spans="1:16" x14ac:dyDescent="0.35">
      <c r="A651" s="3" t="s">
        <v>1059</v>
      </c>
      <c r="B651" s="4">
        <v>45842</v>
      </c>
      <c r="C651" s="1" t="s">
        <v>399</v>
      </c>
      <c r="D651" s="1" t="s">
        <v>400</v>
      </c>
      <c r="E651" s="1" t="s">
        <v>85</v>
      </c>
      <c r="F651" s="1" t="s">
        <v>86</v>
      </c>
      <c r="G651" s="1" t="s">
        <v>87</v>
      </c>
      <c r="H651" s="1" t="s">
        <v>88</v>
      </c>
      <c r="I651" s="1" t="s">
        <v>52</v>
      </c>
      <c r="J651" s="1">
        <v>6</v>
      </c>
      <c r="K651" s="2">
        <v>6499</v>
      </c>
      <c r="L651" s="5">
        <v>37044.300000000003</v>
      </c>
      <c r="M651" s="5">
        <v>4544.67</v>
      </c>
      <c r="N651" s="1" t="s">
        <v>59</v>
      </c>
      <c r="O651" s="1" t="s">
        <v>22</v>
      </c>
      <c r="P651" s="1" t="str">
        <f t="shared" si="10"/>
        <v>High Value</v>
      </c>
    </row>
    <row r="652" spans="1:16" x14ac:dyDescent="0.35">
      <c r="A652" s="3" t="s">
        <v>1060</v>
      </c>
      <c r="B652" s="4">
        <v>45945</v>
      </c>
      <c r="C652" s="1" t="s">
        <v>730</v>
      </c>
      <c r="D652" s="1" t="s">
        <v>731</v>
      </c>
      <c r="E652" s="1" t="s">
        <v>236</v>
      </c>
      <c r="F652" s="1" t="s">
        <v>86</v>
      </c>
      <c r="G652" s="1" t="s">
        <v>50</v>
      </c>
      <c r="H652" s="1" t="s">
        <v>51</v>
      </c>
      <c r="I652" s="1" t="s">
        <v>52</v>
      </c>
      <c r="J652" s="1">
        <v>7</v>
      </c>
      <c r="K652" s="2">
        <v>7999</v>
      </c>
      <c r="L652" s="5">
        <v>53193.35</v>
      </c>
      <c r="M652" s="5">
        <v>8299.9599999999991</v>
      </c>
      <c r="N652" s="1" t="s">
        <v>113</v>
      </c>
      <c r="O652" s="1" t="s">
        <v>22</v>
      </c>
      <c r="P652" s="1" t="str">
        <f t="shared" si="10"/>
        <v>High Value</v>
      </c>
    </row>
    <row r="653" spans="1:16" x14ac:dyDescent="0.35">
      <c r="A653" s="3" t="s">
        <v>1061</v>
      </c>
      <c r="B653" s="4">
        <v>45729</v>
      </c>
      <c r="C653" s="1" t="s">
        <v>318</v>
      </c>
      <c r="D653" s="1" t="s">
        <v>319</v>
      </c>
      <c r="E653" s="1" t="s">
        <v>34</v>
      </c>
      <c r="F653" s="1" t="s">
        <v>27</v>
      </c>
      <c r="G653" s="1" t="s">
        <v>18</v>
      </c>
      <c r="H653" s="1" t="s">
        <v>19</v>
      </c>
      <c r="I653" s="1" t="s">
        <v>20</v>
      </c>
      <c r="J653" s="1">
        <v>4</v>
      </c>
      <c r="K653" s="2">
        <v>3999</v>
      </c>
      <c r="L653" s="5">
        <v>14396.4</v>
      </c>
      <c r="M653" s="5">
        <v>4857.9799999999996</v>
      </c>
      <c r="N653" s="1" t="s">
        <v>21</v>
      </c>
      <c r="O653" s="1" t="s">
        <v>53</v>
      </c>
      <c r="P653" s="1" t="str">
        <f t="shared" si="10"/>
        <v>High Value</v>
      </c>
    </row>
    <row r="654" spans="1:16" x14ac:dyDescent="0.35">
      <c r="A654" s="3" t="s">
        <v>1062</v>
      </c>
      <c r="B654" s="4">
        <v>45960</v>
      </c>
      <c r="C654" s="1" t="s">
        <v>349</v>
      </c>
      <c r="D654" s="1" t="s">
        <v>350</v>
      </c>
      <c r="E654" s="1" t="s">
        <v>34</v>
      </c>
      <c r="F654" s="1" t="s">
        <v>27</v>
      </c>
      <c r="G654" s="1" t="s">
        <v>63</v>
      </c>
      <c r="H654" s="1" t="s">
        <v>64</v>
      </c>
      <c r="I654" s="1" t="s">
        <v>20</v>
      </c>
      <c r="J654" s="1">
        <v>7</v>
      </c>
      <c r="K654" s="2">
        <v>659</v>
      </c>
      <c r="L654" s="5">
        <v>4382.3500000000004</v>
      </c>
      <c r="M654" s="5">
        <v>925.52</v>
      </c>
      <c r="N654" s="1" t="s">
        <v>21</v>
      </c>
      <c r="O654" s="1" t="s">
        <v>22</v>
      </c>
      <c r="P654" s="1" t="str">
        <f t="shared" si="10"/>
        <v>Low Value</v>
      </c>
    </row>
    <row r="655" spans="1:16" x14ac:dyDescent="0.35">
      <c r="A655" s="3" t="s">
        <v>1063</v>
      </c>
      <c r="B655" s="4">
        <v>45728</v>
      </c>
      <c r="C655" s="1" t="s">
        <v>725</v>
      </c>
      <c r="D655" s="1" t="s">
        <v>224</v>
      </c>
      <c r="E655" s="1" t="s">
        <v>101</v>
      </c>
      <c r="F655" s="1" t="s">
        <v>86</v>
      </c>
      <c r="G655" s="1" t="s">
        <v>262</v>
      </c>
      <c r="H655" s="1" t="s">
        <v>263</v>
      </c>
      <c r="I655" s="1" t="s">
        <v>97</v>
      </c>
      <c r="J655" s="1">
        <v>5</v>
      </c>
      <c r="K655" s="2">
        <v>156</v>
      </c>
      <c r="L655" s="5">
        <v>702</v>
      </c>
      <c r="M655" s="5">
        <v>90.76</v>
      </c>
      <c r="N655" s="1" t="s">
        <v>59</v>
      </c>
      <c r="O655" s="1" t="s">
        <v>136</v>
      </c>
      <c r="P655" s="1" t="str">
        <f t="shared" si="10"/>
        <v>Low Value</v>
      </c>
    </row>
    <row r="656" spans="1:16" x14ac:dyDescent="0.35">
      <c r="A656" s="3" t="s">
        <v>1064</v>
      </c>
      <c r="B656" s="4">
        <v>45910</v>
      </c>
      <c r="C656" s="1" t="s">
        <v>384</v>
      </c>
      <c r="D656" s="1" t="s">
        <v>306</v>
      </c>
      <c r="E656" s="1" t="s">
        <v>172</v>
      </c>
      <c r="F656" s="1" t="s">
        <v>173</v>
      </c>
      <c r="G656" s="1" t="s">
        <v>35</v>
      </c>
      <c r="H656" s="1" t="s">
        <v>36</v>
      </c>
      <c r="I656" s="1" t="s">
        <v>37</v>
      </c>
      <c r="J656" s="1">
        <v>1</v>
      </c>
      <c r="K656" s="2">
        <v>1169</v>
      </c>
      <c r="L656" s="5">
        <v>1169</v>
      </c>
      <c r="M656" s="5">
        <v>207.84</v>
      </c>
      <c r="N656" s="1" t="s">
        <v>113</v>
      </c>
      <c r="O656" s="1" t="s">
        <v>22</v>
      </c>
      <c r="P656" s="1" t="str">
        <f t="shared" si="10"/>
        <v>Low Value</v>
      </c>
    </row>
    <row r="657" spans="1:16" x14ac:dyDescent="0.35">
      <c r="A657" s="3" t="s">
        <v>1065</v>
      </c>
      <c r="B657" s="4">
        <v>45805</v>
      </c>
      <c r="C657" s="1" t="s">
        <v>466</v>
      </c>
      <c r="D657" s="1" t="s">
        <v>467</v>
      </c>
      <c r="E657" s="1" t="s">
        <v>101</v>
      </c>
      <c r="F657" s="1" t="s">
        <v>86</v>
      </c>
      <c r="G657" s="1" t="s">
        <v>105</v>
      </c>
      <c r="H657" s="1" t="s">
        <v>106</v>
      </c>
      <c r="I657" s="1" t="s">
        <v>107</v>
      </c>
      <c r="J657" s="1">
        <v>4</v>
      </c>
      <c r="K657" s="2">
        <v>899</v>
      </c>
      <c r="L657" s="5">
        <v>3596</v>
      </c>
      <c r="M657" s="5">
        <v>1036.5</v>
      </c>
      <c r="N657" s="1" t="s">
        <v>113</v>
      </c>
      <c r="O657" s="1" t="s">
        <v>53</v>
      </c>
      <c r="P657" s="1" t="str">
        <f t="shared" si="10"/>
        <v>Low Value</v>
      </c>
    </row>
    <row r="658" spans="1:16" x14ac:dyDescent="0.35">
      <c r="A658" s="3" t="s">
        <v>1066</v>
      </c>
      <c r="B658" s="4">
        <v>45964</v>
      </c>
      <c r="C658" s="1" t="s">
        <v>806</v>
      </c>
      <c r="D658" s="1" t="s">
        <v>807</v>
      </c>
      <c r="E658" s="1" t="s">
        <v>16</v>
      </c>
      <c r="F658" s="1" t="s">
        <v>17</v>
      </c>
      <c r="G658" s="1" t="s">
        <v>28</v>
      </c>
      <c r="H658" s="1" t="s">
        <v>29</v>
      </c>
      <c r="I658" s="1" t="s">
        <v>30</v>
      </c>
      <c r="J658" s="1">
        <v>7</v>
      </c>
      <c r="K658" s="2">
        <v>1599</v>
      </c>
      <c r="L658" s="5">
        <v>8954.4</v>
      </c>
      <c r="M658" s="5">
        <v>2425.75</v>
      </c>
      <c r="N658" s="1" t="s">
        <v>89</v>
      </c>
      <c r="O658" s="1" t="s">
        <v>22</v>
      </c>
      <c r="P658" s="1" t="str">
        <f t="shared" si="10"/>
        <v>Medium Value</v>
      </c>
    </row>
    <row r="659" spans="1:16" x14ac:dyDescent="0.35">
      <c r="A659" s="3" t="s">
        <v>1067</v>
      </c>
      <c r="B659" s="4">
        <v>45952</v>
      </c>
      <c r="C659" s="1" t="s">
        <v>470</v>
      </c>
      <c r="D659" s="1" t="s">
        <v>266</v>
      </c>
      <c r="E659" s="1" t="s">
        <v>68</v>
      </c>
      <c r="F659" s="1" t="s">
        <v>69</v>
      </c>
      <c r="G659" s="1" t="s">
        <v>198</v>
      </c>
      <c r="H659" s="1" t="s">
        <v>199</v>
      </c>
      <c r="I659" s="1" t="s">
        <v>37</v>
      </c>
      <c r="J659" s="1">
        <v>1</v>
      </c>
      <c r="K659" s="2">
        <v>699</v>
      </c>
      <c r="L659" s="5">
        <v>664.05</v>
      </c>
      <c r="M659" s="5">
        <v>147.04</v>
      </c>
      <c r="N659" s="1" t="s">
        <v>45</v>
      </c>
      <c r="O659" s="1" t="s">
        <v>22</v>
      </c>
      <c r="P659" s="1" t="str">
        <f t="shared" si="10"/>
        <v>Low Value</v>
      </c>
    </row>
    <row r="660" spans="1:16" x14ac:dyDescent="0.35">
      <c r="A660" s="3" t="s">
        <v>1068</v>
      </c>
      <c r="B660" s="4">
        <v>45797</v>
      </c>
      <c r="C660" s="1" t="s">
        <v>806</v>
      </c>
      <c r="D660" s="1" t="s">
        <v>807</v>
      </c>
      <c r="E660" s="1" t="s">
        <v>75</v>
      </c>
      <c r="F660" s="1" t="s">
        <v>76</v>
      </c>
      <c r="G660" s="1" t="s">
        <v>95</v>
      </c>
      <c r="H660" s="1" t="s">
        <v>96</v>
      </c>
      <c r="I660" s="1" t="s">
        <v>97</v>
      </c>
      <c r="J660" s="1">
        <v>1</v>
      </c>
      <c r="K660" s="2">
        <v>249</v>
      </c>
      <c r="L660" s="5">
        <v>236.55</v>
      </c>
      <c r="M660" s="5">
        <v>55.95</v>
      </c>
      <c r="N660" s="1" t="s">
        <v>89</v>
      </c>
      <c r="O660" s="1" t="s">
        <v>22</v>
      </c>
      <c r="P660" s="1" t="str">
        <f t="shared" si="10"/>
        <v>Low Value</v>
      </c>
    </row>
    <row r="661" spans="1:16" x14ac:dyDescent="0.35">
      <c r="A661" s="3" t="s">
        <v>1069</v>
      </c>
      <c r="B661" s="4">
        <v>45751</v>
      </c>
      <c r="C661" s="1" t="s">
        <v>600</v>
      </c>
      <c r="D661" s="1" t="s">
        <v>601</v>
      </c>
      <c r="E661" s="1" t="s">
        <v>101</v>
      </c>
      <c r="F661" s="1" t="s">
        <v>86</v>
      </c>
      <c r="G661" s="1" t="s">
        <v>254</v>
      </c>
      <c r="H661" s="1" t="s">
        <v>255</v>
      </c>
      <c r="I661" s="1" t="s">
        <v>30</v>
      </c>
      <c r="J661" s="1">
        <v>6</v>
      </c>
      <c r="K661" s="2">
        <v>799</v>
      </c>
      <c r="L661" s="5">
        <v>3835.2</v>
      </c>
      <c r="M661" s="5">
        <v>1135.1199999999999</v>
      </c>
      <c r="N661" s="1" t="s">
        <v>59</v>
      </c>
      <c r="O661" s="1" t="s">
        <v>22</v>
      </c>
      <c r="P661" s="1" t="str">
        <f t="shared" si="10"/>
        <v>Low Value</v>
      </c>
    </row>
    <row r="662" spans="1:16" x14ac:dyDescent="0.35">
      <c r="A662" s="3" t="s">
        <v>1070</v>
      </c>
      <c r="B662" s="4">
        <v>45843</v>
      </c>
      <c r="C662" s="1" t="s">
        <v>600</v>
      </c>
      <c r="D662" s="1" t="s">
        <v>601</v>
      </c>
      <c r="E662" s="1" t="s">
        <v>80</v>
      </c>
      <c r="F662" s="1" t="s">
        <v>81</v>
      </c>
      <c r="G662" s="1" t="s">
        <v>28</v>
      </c>
      <c r="H662" s="1" t="s">
        <v>29</v>
      </c>
      <c r="I662" s="1" t="s">
        <v>30</v>
      </c>
      <c r="J662" s="1">
        <v>6</v>
      </c>
      <c r="K662" s="2">
        <v>1599</v>
      </c>
      <c r="L662" s="5">
        <v>9594</v>
      </c>
      <c r="M662" s="5">
        <v>1440.34</v>
      </c>
      <c r="N662" s="1" t="s">
        <v>59</v>
      </c>
      <c r="O662" s="1" t="s">
        <v>22</v>
      </c>
      <c r="P662" s="1" t="str">
        <f t="shared" si="10"/>
        <v>Medium Value</v>
      </c>
    </row>
    <row r="663" spans="1:16" x14ac:dyDescent="0.35">
      <c r="A663" s="3" t="s">
        <v>1071</v>
      </c>
      <c r="B663" s="4">
        <v>45868</v>
      </c>
      <c r="C663" s="1" t="s">
        <v>265</v>
      </c>
      <c r="D663" s="1" t="s">
        <v>266</v>
      </c>
      <c r="E663" s="1" t="s">
        <v>101</v>
      </c>
      <c r="F663" s="1" t="s">
        <v>86</v>
      </c>
      <c r="G663" s="1" t="s">
        <v>120</v>
      </c>
      <c r="H663" s="1" t="s">
        <v>121</v>
      </c>
      <c r="I663" s="1" t="s">
        <v>20</v>
      </c>
      <c r="J663" s="1">
        <v>4</v>
      </c>
      <c r="K663" s="2">
        <v>1499</v>
      </c>
      <c r="L663" s="5">
        <v>5096.6000000000004</v>
      </c>
      <c r="M663" s="5">
        <v>859.52</v>
      </c>
      <c r="N663" s="1" t="s">
        <v>45</v>
      </c>
      <c r="O663" s="1" t="s">
        <v>136</v>
      </c>
      <c r="P663" s="1" t="str">
        <f t="shared" si="10"/>
        <v>Medium Value</v>
      </c>
    </row>
    <row r="664" spans="1:16" x14ac:dyDescent="0.35">
      <c r="A664" s="3" t="s">
        <v>1072</v>
      </c>
      <c r="B664" s="4">
        <v>45972</v>
      </c>
      <c r="C664" s="1" t="s">
        <v>238</v>
      </c>
      <c r="D664" s="1" t="s">
        <v>239</v>
      </c>
      <c r="E664" s="1" t="s">
        <v>41</v>
      </c>
      <c r="F664" s="1" t="s">
        <v>17</v>
      </c>
      <c r="G664" s="1" t="s">
        <v>254</v>
      </c>
      <c r="H664" s="1" t="s">
        <v>255</v>
      </c>
      <c r="I664" s="1" t="s">
        <v>30</v>
      </c>
      <c r="J664" s="1">
        <v>2</v>
      </c>
      <c r="K664" s="2">
        <v>799</v>
      </c>
      <c r="L664" s="5">
        <v>1438.2</v>
      </c>
      <c r="M664" s="5">
        <v>462.42</v>
      </c>
      <c r="N664" s="1" t="s">
        <v>89</v>
      </c>
      <c r="O664" s="1" t="s">
        <v>136</v>
      </c>
      <c r="P664" s="1" t="str">
        <f t="shared" si="10"/>
        <v>Low Value</v>
      </c>
    </row>
    <row r="665" spans="1:16" x14ac:dyDescent="0.35">
      <c r="A665" s="3" t="s">
        <v>1073</v>
      </c>
      <c r="B665" s="4">
        <v>45903</v>
      </c>
      <c r="C665" s="1" t="s">
        <v>365</v>
      </c>
      <c r="D665" s="1" t="s">
        <v>366</v>
      </c>
      <c r="E665" s="1" t="s">
        <v>49</v>
      </c>
      <c r="F665" s="1" t="s">
        <v>49</v>
      </c>
      <c r="G665" s="1" t="s">
        <v>95</v>
      </c>
      <c r="H665" s="1" t="s">
        <v>96</v>
      </c>
      <c r="I665" s="1" t="s">
        <v>97</v>
      </c>
      <c r="J665" s="1">
        <v>3</v>
      </c>
      <c r="K665" s="2">
        <v>249</v>
      </c>
      <c r="L665" s="5">
        <v>634.95000000000005</v>
      </c>
      <c r="M665" s="5">
        <v>149.27000000000001</v>
      </c>
      <c r="N665" s="1" t="s">
        <v>59</v>
      </c>
      <c r="O665" s="1" t="s">
        <v>22</v>
      </c>
      <c r="P665" s="1" t="str">
        <f t="shared" si="10"/>
        <v>Low Value</v>
      </c>
    </row>
    <row r="666" spans="1:16" x14ac:dyDescent="0.35">
      <c r="A666" s="3" t="s">
        <v>1074</v>
      </c>
      <c r="B666" s="4">
        <v>45672</v>
      </c>
      <c r="C666" s="1" t="s">
        <v>259</v>
      </c>
      <c r="D666" s="1" t="s">
        <v>260</v>
      </c>
      <c r="E666" s="1" t="s">
        <v>141</v>
      </c>
      <c r="F666" s="1" t="s">
        <v>69</v>
      </c>
      <c r="G666" s="1" t="s">
        <v>18</v>
      </c>
      <c r="H666" s="1" t="s">
        <v>19</v>
      </c>
      <c r="I666" s="1" t="s">
        <v>20</v>
      </c>
      <c r="J666" s="1">
        <v>3</v>
      </c>
      <c r="K666" s="2">
        <v>4399</v>
      </c>
      <c r="L666" s="5">
        <v>13197</v>
      </c>
      <c r="M666" s="5">
        <v>2476.21</v>
      </c>
      <c r="N666" s="1" t="s">
        <v>45</v>
      </c>
      <c r="O666" s="1" t="s">
        <v>22</v>
      </c>
      <c r="P666" s="1" t="str">
        <f t="shared" si="10"/>
        <v>High Value</v>
      </c>
    </row>
    <row r="667" spans="1:16" x14ac:dyDescent="0.35">
      <c r="A667" s="3" t="s">
        <v>1075</v>
      </c>
      <c r="B667" s="4">
        <v>45875</v>
      </c>
      <c r="C667" s="1" t="s">
        <v>238</v>
      </c>
      <c r="D667" s="1" t="s">
        <v>239</v>
      </c>
      <c r="E667" s="1" t="s">
        <v>94</v>
      </c>
      <c r="F667" s="1" t="s">
        <v>27</v>
      </c>
      <c r="G667" s="1" t="s">
        <v>182</v>
      </c>
      <c r="H667" s="1" t="s">
        <v>183</v>
      </c>
      <c r="I667" s="1" t="s">
        <v>20</v>
      </c>
      <c r="J667" s="1">
        <v>1</v>
      </c>
      <c r="K667" s="2">
        <v>1799</v>
      </c>
      <c r="L667" s="5">
        <v>1619.1</v>
      </c>
      <c r="M667" s="5">
        <v>209.44</v>
      </c>
      <c r="N667" s="1" t="s">
        <v>89</v>
      </c>
      <c r="O667" s="1" t="s">
        <v>22</v>
      </c>
      <c r="P667" s="1" t="str">
        <f t="shared" si="10"/>
        <v>Low Value</v>
      </c>
    </row>
    <row r="668" spans="1:16" x14ac:dyDescent="0.35">
      <c r="A668" s="3" t="s">
        <v>1076</v>
      </c>
      <c r="B668" s="4">
        <v>45920</v>
      </c>
      <c r="C668" s="1" t="s">
        <v>327</v>
      </c>
      <c r="D668" s="1" t="s">
        <v>328</v>
      </c>
      <c r="E668" s="1" t="s">
        <v>26</v>
      </c>
      <c r="F668" s="1" t="s">
        <v>27</v>
      </c>
      <c r="G668" s="1" t="s">
        <v>105</v>
      </c>
      <c r="H668" s="1" t="s">
        <v>106</v>
      </c>
      <c r="I668" s="1" t="s">
        <v>107</v>
      </c>
      <c r="J668" s="1">
        <v>2</v>
      </c>
      <c r="K668" s="2">
        <v>999</v>
      </c>
      <c r="L668" s="5">
        <v>1998</v>
      </c>
      <c r="M668" s="5">
        <v>268.88</v>
      </c>
      <c r="N668" s="1" t="s">
        <v>89</v>
      </c>
      <c r="O668" s="1" t="s">
        <v>22</v>
      </c>
      <c r="P668" s="1" t="str">
        <f t="shared" si="10"/>
        <v>Low Value</v>
      </c>
    </row>
    <row r="669" spans="1:16" x14ac:dyDescent="0.35">
      <c r="A669" s="3" t="s">
        <v>1077</v>
      </c>
      <c r="B669" s="4">
        <v>45966</v>
      </c>
      <c r="C669" s="1" t="s">
        <v>578</v>
      </c>
      <c r="D669" s="1" t="s">
        <v>579</v>
      </c>
      <c r="E669" s="1" t="s">
        <v>236</v>
      </c>
      <c r="F669" s="1" t="s">
        <v>86</v>
      </c>
      <c r="G669" s="1" t="s">
        <v>198</v>
      </c>
      <c r="H669" s="1" t="s">
        <v>199</v>
      </c>
      <c r="I669" s="1" t="s">
        <v>37</v>
      </c>
      <c r="J669" s="1">
        <v>6</v>
      </c>
      <c r="K669" s="2">
        <v>629</v>
      </c>
      <c r="L669" s="5">
        <v>3774</v>
      </c>
      <c r="M669" s="5">
        <v>573.73</v>
      </c>
      <c r="N669" s="1" t="s">
        <v>59</v>
      </c>
      <c r="O669" s="1" t="s">
        <v>53</v>
      </c>
      <c r="P669" s="1" t="str">
        <f t="shared" si="10"/>
        <v>Low Value</v>
      </c>
    </row>
    <row r="670" spans="1:16" x14ac:dyDescent="0.35">
      <c r="A670" s="3" t="s">
        <v>1078</v>
      </c>
      <c r="B670" s="4">
        <v>45838</v>
      </c>
      <c r="C670" s="1" t="s">
        <v>1037</v>
      </c>
      <c r="D670" s="1" t="s">
        <v>1038</v>
      </c>
      <c r="E670" s="1" t="s">
        <v>41</v>
      </c>
      <c r="F670" s="1" t="s">
        <v>17</v>
      </c>
      <c r="G670" s="1" t="s">
        <v>131</v>
      </c>
      <c r="H670" s="1" t="s">
        <v>132</v>
      </c>
      <c r="I670" s="1" t="s">
        <v>44</v>
      </c>
      <c r="J670" s="1">
        <v>4</v>
      </c>
      <c r="K670" s="2">
        <v>576</v>
      </c>
      <c r="L670" s="5">
        <v>1958.4</v>
      </c>
      <c r="M670" s="5">
        <v>264.45</v>
      </c>
      <c r="N670" s="1" t="s">
        <v>21</v>
      </c>
      <c r="O670" s="1" t="s">
        <v>136</v>
      </c>
      <c r="P670" s="1" t="str">
        <f t="shared" si="10"/>
        <v>Low Value</v>
      </c>
    </row>
    <row r="671" spans="1:16" x14ac:dyDescent="0.35">
      <c r="A671" s="3" t="s">
        <v>1079</v>
      </c>
      <c r="B671" s="4">
        <v>45769</v>
      </c>
      <c r="C671" s="1" t="s">
        <v>879</v>
      </c>
      <c r="D671" s="1" t="s">
        <v>363</v>
      </c>
      <c r="E671" s="1" t="s">
        <v>49</v>
      </c>
      <c r="F671" s="1" t="s">
        <v>49</v>
      </c>
      <c r="G671" s="1" t="s">
        <v>198</v>
      </c>
      <c r="H671" s="1" t="s">
        <v>199</v>
      </c>
      <c r="I671" s="1" t="s">
        <v>37</v>
      </c>
      <c r="J671" s="1">
        <v>1</v>
      </c>
      <c r="K671" s="2">
        <v>769</v>
      </c>
      <c r="L671" s="5">
        <v>769</v>
      </c>
      <c r="M671" s="5">
        <v>248.64</v>
      </c>
      <c r="N671" s="1" t="s">
        <v>21</v>
      </c>
      <c r="O671" s="1" t="s">
        <v>136</v>
      </c>
      <c r="P671" s="1" t="str">
        <f t="shared" si="10"/>
        <v>Low Value</v>
      </c>
    </row>
    <row r="672" spans="1:16" x14ac:dyDescent="0.35">
      <c r="A672" s="3" t="s">
        <v>1080</v>
      </c>
      <c r="B672" s="4">
        <v>45845</v>
      </c>
      <c r="C672" s="1" t="s">
        <v>147</v>
      </c>
      <c r="D672" s="1" t="s">
        <v>148</v>
      </c>
      <c r="E672" s="1" t="s">
        <v>101</v>
      </c>
      <c r="F672" s="1" t="s">
        <v>86</v>
      </c>
      <c r="G672" s="1" t="s">
        <v>50</v>
      </c>
      <c r="H672" s="1" t="s">
        <v>51</v>
      </c>
      <c r="I672" s="1" t="s">
        <v>52</v>
      </c>
      <c r="J672" s="1">
        <v>2</v>
      </c>
      <c r="K672" s="2">
        <v>7999</v>
      </c>
      <c r="L672" s="5">
        <v>15198.1</v>
      </c>
      <c r="M672" s="5">
        <v>5104.83</v>
      </c>
      <c r="N672" s="1" t="s">
        <v>113</v>
      </c>
      <c r="O672" s="1" t="s">
        <v>22</v>
      </c>
      <c r="P672" s="1" t="str">
        <f t="shared" si="10"/>
        <v>High Value</v>
      </c>
    </row>
    <row r="673" spans="1:16" x14ac:dyDescent="0.35">
      <c r="A673" s="3" t="s">
        <v>1081</v>
      </c>
      <c r="B673" s="4">
        <v>45866</v>
      </c>
      <c r="C673" s="1" t="s">
        <v>1082</v>
      </c>
      <c r="D673" s="1" t="s">
        <v>1083</v>
      </c>
      <c r="E673" s="1" t="s">
        <v>111</v>
      </c>
      <c r="F673" s="1" t="s">
        <v>112</v>
      </c>
      <c r="G673" s="1" t="s">
        <v>120</v>
      </c>
      <c r="H673" s="1" t="s">
        <v>121</v>
      </c>
      <c r="I673" s="1" t="s">
        <v>20</v>
      </c>
      <c r="J673" s="1">
        <v>8</v>
      </c>
      <c r="K673" s="2">
        <v>1349</v>
      </c>
      <c r="L673" s="5">
        <v>9173.2000000000007</v>
      </c>
      <c r="M673" s="5">
        <v>1375.07</v>
      </c>
      <c r="N673" s="1" t="s">
        <v>59</v>
      </c>
      <c r="O673" s="1" t="s">
        <v>22</v>
      </c>
      <c r="P673" s="1" t="str">
        <f t="shared" si="10"/>
        <v>Medium Value</v>
      </c>
    </row>
    <row r="674" spans="1:16" x14ac:dyDescent="0.35">
      <c r="A674" s="3" t="s">
        <v>1084</v>
      </c>
      <c r="B674" s="4">
        <v>45678</v>
      </c>
      <c r="C674" s="1" t="s">
        <v>229</v>
      </c>
      <c r="D674" s="1" t="s">
        <v>230</v>
      </c>
      <c r="E674" s="1" t="s">
        <v>111</v>
      </c>
      <c r="F674" s="1" t="s">
        <v>112</v>
      </c>
      <c r="G674" s="1" t="s">
        <v>105</v>
      </c>
      <c r="H674" s="1" t="s">
        <v>106</v>
      </c>
      <c r="I674" s="1" t="s">
        <v>107</v>
      </c>
      <c r="J674" s="1">
        <v>2</v>
      </c>
      <c r="K674" s="2">
        <v>999</v>
      </c>
      <c r="L674" s="5">
        <v>1898.1</v>
      </c>
      <c r="M674" s="5">
        <v>418.58</v>
      </c>
      <c r="N674" s="1" t="s">
        <v>59</v>
      </c>
      <c r="O674" s="1" t="s">
        <v>22</v>
      </c>
      <c r="P674" s="1" t="str">
        <f t="shared" si="10"/>
        <v>Low Value</v>
      </c>
    </row>
    <row r="675" spans="1:16" x14ac:dyDescent="0.35">
      <c r="A675" s="3" t="s">
        <v>1085</v>
      </c>
      <c r="B675" s="4">
        <v>45773</v>
      </c>
      <c r="C675" s="1" t="s">
        <v>83</v>
      </c>
      <c r="D675" s="1" t="s">
        <v>84</v>
      </c>
      <c r="E675" s="1" t="s">
        <v>75</v>
      </c>
      <c r="F675" s="1" t="s">
        <v>76</v>
      </c>
      <c r="G675" s="1" t="s">
        <v>70</v>
      </c>
      <c r="H675" s="1" t="s">
        <v>71</v>
      </c>
      <c r="I675" s="1" t="s">
        <v>44</v>
      </c>
      <c r="J675" s="1">
        <v>7</v>
      </c>
      <c r="K675" s="2">
        <v>3299</v>
      </c>
      <c r="L675" s="5">
        <v>23093</v>
      </c>
      <c r="M675" s="5">
        <v>7316.93</v>
      </c>
      <c r="N675" s="1" t="s">
        <v>113</v>
      </c>
      <c r="O675" s="1" t="s">
        <v>90</v>
      </c>
      <c r="P675" s="1" t="str">
        <f t="shared" si="10"/>
        <v>High Value</v>
      </c>
    </row>
    <row r="676" spans="1:16" x14ac:dyDescent="0.35">
      <c r="A676" s="3" t="s">
        <v>1086</v>
      </c>
      <c r="B676" s="4">
        <v>45749</v>
      </c>
      <c r="C676" s="1" t="s">
        <v>223</v>
      </c>
      <c r="D676" s="1" t="s">
        <v>224</v>
      </c>
      <c r="E676" s="1" t="s">
        <v>16</v>
      </c>
      <c r="F676" s="1" t="s">
        <v>17</v>
      </c>
      <c r="G676" s="1" t="s">
        <v>120</v>
      </c>
      <c r="H676" s="1" t="s">
        <v>121</v>
      </c>
      <c r="I676" s="1" t="s">
        <v>20</v>
      </c>
      <c r="J676" s="1">
        <v>7</v>
      </c>
      <c r="K676" s="2">
        <v>1499</v>
      </c>
      <c r="L676" s="5">
        <v>8919.0499999999993</v>
      </c>
      <c r="M676" s="5">
        <v>2362.48</v>
      </c>
      <c r="N676" s="1" t="s">
        <v>89</v>
      </c>
      <c r="O676" s="1" t="s">
        <v>22</v>
      </c>
      <c r="P676" s="1" t="str">
        <f t="shared" si="10"/>
        <v>Medium Value</v>
      </c>
    </row>
    <row r="677" spans="1:16" x14ac:dyDescent="0.35">
      <c r="A677" s="3" t="s">
        <v>1087</v>
      </c>
      <c r="B677" s="4">
        <v>45863</v>
      </c>
      <c r="C677" s="1" t="s">
        <v>250</v>
      </c>
      <c r="D677" s="1" t="s">
        <v>251</v>
      </c>
      <c r="E677" s="1" t="s">
        <v>94</v>
      </c>
      <c r="F677" s="1" t="s">
        <v>27</v>
      </c>
      <c r="G677" s="1" t="s">
        <v>198</v>
      </c>
      <c r="H677" s="1" t="s">
        <v>199</v>
      </c>
      <c r="I677" s="1" t="s">
        <v>37</v>
      </c>
      <c r="J677" s="1">
        <v>2</v>
      </c>
      <c r="K677" s="2">
        <v>699</v>
      </c>
      <c r="L677" s="5">
        <v>1398</v>
      </c>
      <c r="M677" s="5">
        <v>271.91000000000003</v>
      </c>
      <c r="N677" s="1" t="s">
        <v>21</v>
      </c>
      <c r="O677" s="1" t="s">
        <v>136</v>
      </c>
      <c r="P677" s="1" t="str">
        <f t="shared" si="10"/>
        <v>Low Value</v>
      </c>
    </row>
    <row r="678" spans="1:16" x14ac:dyDescent="0.35">
      <c r="A678" s="3" t="s">
        <v>1088</v>
      </c>
      <c r="B678" s="4">
        <v>45720</v>
      </c>
      <c r="C678" s="1" t="s">
        <v>392</v>
      </c>
      <c r="D678" s="1" t="s">
        <v>393</v>
      </c>
      <c r="E678" s="1" t="s">
        <v>75</v>
      </c>
      <c r="F678" s="1" t="s">
        <v>76</v>
      </c>
      <c r="G678" s="1" t="s">
        <v>105</v>
      </c>
      <c r="H678" s="1" t="s">
        <v>106</v>
      </c>
      <c r="I678" s="1" t="s">
        <v>107</v>
      </c>
      <c r="J678" s="1">
        <v>5</v>
      </c>
      <c r="K678" s="2">
        <v>1099</v>
      </c>
      <c r="L678" s="5">
        <v>4670.75</v>
      </c>
      <c r="M678" s="5">
        <v>1170.5</v>
      </c>
      <c r="N678" s="1" t="s">
        <v>113</v>
      </c>
      <c r="O678" s="1" t="s">
        <v>22</v>
      </c>
      <c r="P678" s="1" t="str">
        <f t="shared" si="10"/>
        <v>Low Value</v>
      </c>
    </row>
    <row r="679" spans="1:16" x14ac:dyDescent="0.35">
      <c r="A679" s="3" t="s">
        <v>1089</v>
      </c>
      <c r="B679" s="4">
        <v>45966</v>
      </c>
      <c r="C679" s="1" t="s">
        <v>1090</v>
      </c>
      <c r="D679" s="1" t="s">
        <v>1091</v>
      </c>
      <c r="E679" s="1" t="s">
        <v>16</v>
      </c>
      <c r="F679" s="1" t="s">
        <v>17</v>
      </c>
      <c r="G679" s="1" t="s">
        <v>213</v>
      </c>
      <c r="H679" s="1" t="s">
        <v>214</v>
      </c>
      <c r="I679" s="1" t="s">
        <v>107</v>
      </c>
      <c r="J679" s="1">
        <v>5</v>
      </c>
      <c r="K679" s="2">
        <v>1899</v>
      </c>
      <c r="L679" s="5">
        <v>8545.5</v>
      </c>
      <c r="M679" s="5">
        <v>1228.57</v>
      </c>
      <c r="N679" s="1" t="s">
        <v>59</v>
      </c>
      <c r="O679" s="1" t="s">
        <v>22</v>
      </c>
      <c r="P679" s="1" t="str">
        <f t="shared" si="10"/>
        <v>Medium Value</v>
      </c>
    </row>
    <row r="680" spans="1:16" x14ac:dyDescent="0.35">
      <c r="A680" s="3" t="s">
        <v>1092</v>
      </c>
      <c r="B680" s="4">
        <v>45979</v>
      </c>
      <c r="C680" s="1" t="s">
        <v>802</v>
      </c>
      <c r="D680" s="1" t="s">
        <v>195</v>
      </c>
      <c r="E680" s="1" t="s">
        <v>166</v>
      </c>
      <c r="F680" s="1" t="s">
        <v>27</v>
      </c>
      <c r="G680" s="1" t="s">
        <v>120</v>
      </c>
      <c r="H680" s="1" t="s">
        <v>121</v>
      </c>
      <c r="I680" s="1" t="s">
        <v>20</v>
      </c>
      <c r="J680" s="1">
        <v>1</v>
      </c>
      <c r="K680" s="2">
        <v>1349</v>
      </c>
      <c r="L680" s="5">
        <v>1214.0999999999999</v>
      </c>
      <c r="M680" s="5">
        <v>326.82</v>
      </c>
      <c r="N680" s="1" t="s">
        <v>45</v>
      </c>
      <c r="O680" s="1" t="s">
        <v>22</v>
      </c>
      <c r="P680" s="1" t="str">
        <f t="shared" si="10"/>
        <v>Low Value</v>
      </c>
    </row>
    <row r="681" spans="1:16" x14ac:dyDescent="0.35">
      <c r="A681" s="3" t="s">
        <v>1093</v>
      </c>
      <c r="B681" s="4">
        <v>45825</v>
      </c>
      <c r="C681" s="1" t="s">
        <v>66</v>
      </c>
      <c r="D681" s="1" t="s">
        <v>67</v>
      </c>
      <c r="E681" s="1" t="s">
        <v>49</v>
      </c>
      <c r="F681" s="1" t="s">
        <v>49</v>
      </c>
      <c r="G681" s="1" t="s">
        <v>131</v>
      </c>
      <c r="H681" s="1" t="s">
        <v>132</v>
      </c>
      <c r="I681" s="1" t="s">
        <v>44</v>
      </c>
      <c r="J681" s="1">
        <v>2</v>
      </c>
      <c r="K681" s="2">
        <v>494</v>
      </c>
      <c r="L681" s="5">
        <v>790.4</v>
      </c>
      <c r="M681" s="5">
        <v>225.54</v>
      </c>
      <c r="N681" s="1" t="s">
        <v>113</v>
      </c>
      <c r="O681" s="1" t="s">
        <v>136</v>
      </c>
      <c r="P681" s="1" t="str">
        <f t="shared" si="10"/>
        <v>Low Value</v>
      </c>
    </row>
    <row r="682" spans="1:16" x14ac:dyDescent="0.35">
      <c r="A682" s="3" t="s">
        <v>1094</v>
      </c>
      <c r="B682" s="4">
        <v>45808</v>
      </c>
      <c r="C682" s="1" t="s">
        <v>14</v>
      </c>
      <c r="D682" s="1" t="s">
        <v>15</v>
      </c>
      <c r="E682" s="1" t="s">
        <v>16</v>
      </c>
      <c r="F682" s="1" t="s">
        <v>17</v>
      </c>
      <c r="G682" s="1" t="s">
        <v>105</v>
      </c>
      <c r="H682" s="1" t="s">
        <v>106</v>
      </c>
      <c r="I682" s="1" t="s">
        <v>107</v>
      </c>
      <c r="J682" s="1">
        <v>5</v>
      </c>
      <c r="K682" s="2">
        <v>1049</v>
      </c>
      <c r="L682" s="5">
        <v>4982.75</v>
      </c>
      <c r="M682" s="5">
        <v>1485.29</v>
      </c>
      <c r="N682" s="1" t="s">
        <v>21</v>
      </c>
      <c r="O682" s="1" t="s">
        <v>22</v>
      </c>
      <c r="P682" s="1" t="str">
        <f t="shared" si="10"/>
        <v>Low Value</v>
      </c>
    </row>
    <row r="683" spans="1:16" x14ac:dyDescent="0.35">
      <c r="A683" s="3" t="s">
        <v>1095</v>
      </c>
      <c r="B683" s="4">
        <v>45878</v>
      </c>
      <c r="C683" s="1" t="s">
        <v>259</v>
      </c>
      <c r="D683" s="1" t="s">
        <v>260</v>
      </c>
      <c r="E683" s="1" t="s">
        <v>145</v>
      </c>
      <c r="F683" s="1" t="s">
        <v>0</v>
      </c>
      <c r="G683" s="1" t="s">
        <v>50</v>
      </c>
      <c r="H683" s="1" t="s">
        <v>51</v>
      </c>
      <c r="I683" s="1" t="s">
        <v>52</v>
      </c>
      <c r="J683" s="1">
        <v>6</v>
      </c>
      <c r="K683" s="2">
        <v>7999</v>
      </c>
      <c r="L683" s="5">
        <v>43194.6</v>
      </c>
      <c r="M683" s="5">
        <v>9551.3799999999992</v>
      </c>
      <c r="N683" s="1" t="s">
        <v>89</v>
      </c>
      <c r="O683" s="1" t="s">
        <v>22</v>
      </c>
      <c r="P683" s="1" t="str">
        <f t="shared" si="10"/>
        <v>High Value</v>
      </c>
    </row>
    <row r="684" spans="1:16" x14ac:dyDescent="0.35">
      <c r="A684" s="3" t="s">
        <v>1096</v>
      </c>
      <c r="B684" s="4">
        <v>45813</v>
      </c>
      <c r="C684" s="1" t="s">
        <v>170</v>
      </c>
      <c r="D684" s="1" t="s">
        <v>171</v>
      </c>
      <c r="E684" s="1" t="s">
        <v>16</v>
      </c>
      <c r="F684" s="1" t="s">
        <v>17</v>
      </c>
      <c r="G684" s="1" t="s">
        <v>87</v>
      </c>
      <c r="H684" s="1" t="s">
        <v>88</v>
      </c>
      <c r="I684" s="1" t="s">
        <v>52</v>
      </c>
      <c r="J684" s="1">
        <v>3</v>
      </c>
      <c r="K684" s="2">
        <v>6499</v>
      </c>
      <c r="L684" s="5">
        <v>15597.6</v>
      </c>
      <c r="M684" s="5">
        <v>3206.83</v>
      </c>
      <c r="N684" s="1" t="s">
        <v>89</v>
      </c>
      <c r="O684" s="1" t="s">
        <v>22</v>
      </c>
      <c r="P684" s="1" t="str">
        <f t="shared" si="10"/>
        <v>High Value</v>
      </c>
    </row>
    <row r="685" spans="1:16" x14ac:dyDescent="0.35">
      <c r="A685" s="3" t="s">
        <v>1097</v>
      </c>
      <c r="B685" s="4">
        <v>45995</v>
      </c>
      <c r="C685" s="1" t="s">
        <v>83</v>
      </c>
      <c r="D685" s="1" t="s">
        <v>84</v>
      </c>
      <c r="E685" s="1" t="s">
        <v>80</v>
      </c>
      <c r="F685" s="1" t="s">
        <v>81</v>
      </c>
      <c r="G685" s="1" t="s">
        <v>28</v>
      </c>
      <c r="H685" s="1" t="s">
        <v>29</v>
      </c>
      <c r="I685" s="1" t="s">
        <v>30</v>
      </c>
      <c r="J685" s="1">
        <v>8</v>
      </c>
      <c r="K685" s="2">
        <v>1599</v>
      </c>
      <c r="L685" s="5">
        <v>10873.2</v>
      </c>
      <c r="M685" s="5">
        <v>3348.48</v>
      </c>
      <c r="N685" s="1" t="s">
        <v>21</v>
      </c>
      <c r="O685" s="1" t="s">
        <v>22</v>
      </c>
      <c r="P685" s="1" t="str">
        <f t="shared" si="10"/>
        <v>High Value</v>
      </c>
    </row>
    <row r="686" spans="1:16" x14ac:dyDescent="0.35">
      <c r="A686" s="3" t="s">
        <v>1098</v>
      </c>
      <c r="B686" s="4">
        <v>45911</v>
      </c>
      <c r="C686" s="1" t="s">
        <v>327</v>
      </c>
      <c r="D686" s="1" t="s">
        <v>328</v>
      </c>
      <c r="E686" s="1" t="s">
        <v>145</v>
      </c>
      <c r="F686" s="1" t="s">
        <v>0</v>
      </c>
      <c r="G686" s="1" t="s">
        <v>131</v>
      </c>
      <c r="H686" s="1" t="s">
        <v>132</v>
      </c>
      <c r="I686" s="1" t="s">
        <v>44</v>
      </c>
      <c r="J686" s="1">
        <v>6</v>
      </c>
      <c r="K686" s="2">
        <v>549</v>
      </c>
      <c r="L686" s="5">
        <v>3129.3</v>
      </c>
      <c r="M686" s="5">
        <v>417.8</v>
      </c>
      <c r="N686" s="1" t="s">
        <v>21</v>
      </c>
      <c r="O686" s="1" t="s">
        <v>22</v>
      </c>
      <c r="P686" s="1" t="str">
        <f t="shared" si="10"/>
        <v>Low Value</v>
      </c>
    </row>
    <row r="687" spans="1:16" x14ac:dyDescent="0.35">
      <c r="A687" s="3" t="s">
        <v>1099</v>
      </c>
      <c r="B687" s="4">
        <v>45836</v>
      </c>
      <c r="C687" s="1" t="s">
        <v>286</v>
      </c>
      <c r="D687" s="1" t="s">
        <v>287</v>
      </c>
      <c r="E687" s="1" t="s">
        <v>166</v>
      </c>
      <c r="F687" s="1" t="s">
        <v>27</v>
      </c>
      <c r="G687" s="1" t="s">
        <v>42</v>
      </c>
      <c r="H687" s="1" t="s">
        <v>43</v>
      </c>
      <c r="I687" s="1" t="s">
        <v>44</v>
      </c>
      <c r="J687" s="1">
        <v>7</v>
      </c>
      <c r="K687" s="2">
        <v>809</v>
      </c>
      <c r="L687" s="5">
        <v>5096.7</v>
      </c>
      <c r="M687" s="5">
        <v>998.6</v>
      </c>
      <c r="N687" s="1" t="s">
        <v>59</v>
      </c>
      <c r="O687" s="1" t="s">
        <v>22</v>
      </c>
      <c r="P687" s="1" t="str">
        <f t="shared" si="10"/>
        <v>Medium Value</v>
      </c>
    </row>
    <row r="688" spans="1:16" x14ac:dyDescent="0.35">
      <c r="A688" s="3" t="s">
        <v>1100</v>
      </c>
      <c r="B688" s="4">
        <v>45996</v>
      </c>
      <c r="C688" s="1" t="s">
        <v>283</v>
      </c>
      <c r="D688" s="1" t="s">
        <v>284</v>
      </c>
      <c r="E688" s="1" t="s">
        <v>141</v>
      </c>
      <c r="F688" s="1" t="s">
        <v>69</v>
      </c>
      <c r="G688" s="1" t="s">
        <v>35</v>
      </c>
      <c r="H688" s="1" t="s">
        <v>36</v>
      </c>
      <c r="I688" s="1" t="s">
        <v>37</v>
      </c>
      <c r="J688" s="1">
        <v>5</v>
      </c>
      <c r="K688" s="2">
        <v>1364</v>
      </c>
      <c r="L688" s="5">
        <v>6820</v>
      </c>
      <c r="M688" s="5">
        <v>2184.35</v>
      </c>
      <c r="N688" s="1" t="s">
        <v>89</v>
      </c>
      <c r="O688" s="1" t="s">
        <v>90</v>
      </c>
      <c r="P688" s="1" t="str">
        <f t="shared" si="10"/>
        <v>Medium Value</v>
      </c>
    </row>
    <row r="689" spans="1:16" x14ac:dyDescent="0.35">
      <c r="A689" s="3" t="s">
        <v>1101</v>
      </c>
      <c r="B689" s="4">
        <v>45830</v>
      </c>
      <c r="C689" s="1" t="s">
        <v>1102</v>
      </c>
      <c r="D689" s="1" t="s">
        <v>1103</v>
      </c>
      <c r="E689" s="1" t="s">
        <v>166</v>
      </c>
      <c r="F689" s="1" t="s">
        <v>27</v>
      </c>
      <c r="G689" s="1" t="s">
        <v>254</v>
      </c>
      <c r="H689" s="1" t="s">
        <v>255</v>
      </c>
      <c r="I689" s="1" t="s">
        <v>30</v>
      </c>
      <c r="J689" s="1">
        <v>6</v>
      </c>
      <c r="K689" s="2">
        <v>719</v>
      </c>
      <c r="L689" s="5">
        <v>3882.6</v>
      </c>
      <c r="M689" s="5">
        <v>1027.76</v>
      </c>
      <c r="N689" s="1" t="s">
        <v>113</v>
      </c>
      <c r="O689" s="1" t="s">
        <v>22</v>
      </c>
      <c r="P689" s="1" t="str">
        <f t="shared" si="10"/>
        <v>Low Value</v>
      </c>
    </row>
    <row r="690" spans="1:16" x14ac:dyDescent="0.35">
      <c r="A690" s="3" t="s">
        <v>1104</v>
      </c>
      <c r="B690" s="4">
        <v>45794</v>
      </c>
      <c r="C690" s="1" t="s">
        <v>853</v>
      </c>
      <c r="D690" s="1" t="s">
        <v>854</v>
      </c>
      <c r="E690" s="1" t="s">
        <v>16</v>
      </c>
      <c r="F690" s="1" t="s">
        <v>17</v>
      </c>
      <c r="G690" s="1" t="s">
        <v>28</v>
      </c>
      <c r="H690" s="1" t="s">
        <v>29</v>
      </c>
      <c r="I690" s="1" t="s">
        <v>30</v>
      </c>
      <c r="J690" s="1">
        <v>1</v>
      </c>
      <c r="K690" s="2">
        <v>1599</v>
      </c>
      <c r="L690" s="5">
        <v>1439.1</v>
      </c>
      <c r="M690" s="5">
        <v>353.27</v>
      </c>
      <c r="N690" s="1" t="s">
        <v>59</v>
      </c>
      <c r="O690" s="1" t="s">
        <v>22</v>
      </c>
      <c r="P690" s="1" t="str">
        <f t="shared" si="10"/>
        <v>Low Value</v>
      </c>
    </row>
    <row r="691" spans="1:16" x14ac:dyDescent="0.35">
      <c r="A691" s="3" t="s">
        <v>1105</v>
      </c>
      <c r="B691" s="4">
        <v>45709</v>
      </c>
      <c r="C691" s="1" t="s">
        <v>238</v>
      </c>
      <c r="D691" s="1" t="s">
        <v>239</v>
      </c>
      <c r="E691" s="1" t="s">
        <v>236</v>
      </c>
      <c r="F691" s="1" t="s">
        <v>86</v>
      </c>
      <c r="G691" s="1" t="s">
        <v>42</v>
      </c>
      <c r="H691" s="1" t="s">
        <v>43</v>
      </c>
      <c r="I691" s="1" t="s">
        <v>44</v>
      </c>
      <c r="J691" s="1">
        <v>8</v>
      </c>
      <c r="K691" s="2">
        <v>944</v>
      </c>
      <c r="L691" s="5">
        <v>6041.6</v>
      </c>
      <c r="M691" s="5">
        <v>1176.29</v>
      </c>
      <c r="N691" s="1" t="s">
        <v>21</v>
      </c>
      <c r="O691" s="1" t="s">
        <v>22</v>
      </c>
      <c r="P691" s="1" t="str">
        <f t="shared" si="10"/>
        <v>Medium Value</v>
      </c>
    </row>
    <row r="692" spans="1:16" x14ac:dyDescent="0.35">
      <c r="A692" s="3" t="s">
        <v>1106</v>
      </c>
      <c r="B692" s="4">
        <v>45761</v>
      </c>
      <c r="C692" s="1" t="s">
        <v>743</v>
      </c>
      <c r="D692" s="1" t="s">
        <v>135</v>
      </c>
      <c r="E692" s="1" t="s">
        <v>34</v>
      </c>
      <c r="F692" s="1" t="s">
        <v>27</v>
      </c>
      <c r="G692" s="1" t="s">
        <v>254</v>
      </c>
      <c r="H692" s="1" t="s">
        <v>255</v>
      </c>
      <c r="I692" s="1" t="s">
        <v>30</v>
      </c>
      <c r="J692" s="1">
        <v>4</v>
      </c>
      <c r="K692" s="2">
        <v>799</v>
      </c>
      <c r="L692" s="5">
        <v>3036.2</v>
      </c>
      <c r="M692" s="5">
        <v>396.09</v>
      </c>
      <c r="N692" s="1" t="s">
        <v>21</v>
      </c>
      <c r="O692" s="1" t="s">
        <v>22</v>
      </c>
      <c r="P692" s="1" t="str">
        <f t="shared" si="10"/>
        <v>Low Value</v>
      </c>
    </row>
    <row r="693" spans="1:16" x14ac:dyDescent="0.35">
      <c r="A693" s="3" t="s">
        <v>1107</v>
      </c>
      <c r="B693" s="4">
        <v>45977</v>
      </c>
      <c r="C693" s="1" t="s">
        <v>73</v>
      </c>
      <c r="D693" s="1" t="s">
        <v>74</v>
      </c>
      <c r="E693" s="1" t="s">
        <v>94</v>
      </c>
      <c r="F693" s="1" t="s">
        <v>27</v>
      </c>
      <c r="G693" s="1" t="s">
        <v>28</v>
      </c>
      <c r="H693" s="1" t="s">
        <v>29</v>
      </c>
      <c r="I693" s="1" t="s">
        <v>30</v>
      </c>
      <c r="J693" s="1">
        <v>6</v>
      </c>
      <c r="K693" s="2">
        <v>1599</v>
      </c>
      <c r="L693" s="5">
        <v>9594</v>
      </c>
      <c r="M693" s="5">
        <v>2346.83</v>
      </c>
      <c r="N693" s="1" t="s">
        <v>21</v>
      </c>
      <c r="O693" s="1" t="s">
        <v>22</v>
      </c>
      <c r="P693" s="1" t="str">
        <f t="shared" si="10"/>
        <v>Medium Value</v>
      </c>
    </row>
    <row r="694" spans="1:16" x14ac:dyDescent="0.35">
      <c r="A694" s="3" t="s">
        <v>1108</v>
      </c>
      <c r="B694" s="4">
        <v>45835</v>
      </c>
      <c r="C694" s="1" t="s">
        <v>647</v>
      </c>
      <c r="D694" s="1" t="s">
        <v>648</v>
      </c>
      <c r="E694" s="1" t="s">
        <v>49</v>
      </c>
      <c r="F694" s="1" t="s">
        <v>49</v>
      </c>
      <c r="G694" s="1" t="s">
        <v>213</v>
      </c>
      <c r="H694" s="1" t="s">
        <v>214</v>
      </c>
      <c r="I694" s="1" t="s">
        <v>107</v>
      </c>
      <c r="J694" s="1">
        <v>5</v>
      </c>
      <c r="K694" s="2">
        <v>1899</v>
      </c>
      <c r="L694" s="5">
        <v>7596</v>
      </c>
      <c r="M694" s="5">
        <v>1813.84</v>
      </c>
      <c r="N694" s="1" t="s">
        <v>45</v>
      </c>
      <c r="O694" s="1" t="s">
        <v>22</v>
      </c>
      <c r="P694" s="1" t="str">
        <f t="shared" si="10"/>
        <v>Medium Value</v>
      </c>
    </row>
    <row r="695" spans="1:16" x14ac:dyDescent="0.35">
      <c r="A695" s="3" t="s">
        <v>1109</v>
      </c>
      <c r="B695" s="4">
        <v>45977</v>
      </c>
      <c r="C695" s="1" t="s">
        <v>253</v>
      </c>
      <c r="D695" s="1" t="s">
        <v>244</v>
      </c>
      <c r="E695" s="1" t="s">
        <v>172</v>
      </c>
      <c r="F695" s="1" t="s">
        <v>173</v>
      </c>
      <c r="G695" s="1" t="s">
        <v>254</v>
      </c>
      <c r="H695" s="1" t="s">
        <v>255</v>
      </c>
      <c r="I695" s="1" t="s">
        <v>30</v>
      </c>
      <c r="J695" s="1">
        <v>3</v>
      </c>
      <c r="K695" s="2">
        <v>719</v>
      </c>
      <c r="L695" s="5">
        <v>1725.6</v>
      </c>
      <c r="M695" s="5">
        <v>474.08</v>
      </c>
      <c r="N695" s="1" t="s">
        <v>45</v>
      </c>
      <c r="O695" s="1" t="s">
        <v>22</v>
      </c>
      <c r="P695" s="1" t="str">
        <f t="shared" si="10"/>
        <v>Low Value</v>
      </c>
    </row>
    <row r="696" spans="1:16" x14ac:dyDescent="0.35">
      <c r="A696" s="3" t="s">
        <v>1110</v>
      </c>
      <c r="B696" s="4">
        <v>45996</v>
      </c>
      <c r="C696" s="1" t="s">
        <v>452</v>
      </c>
      <c r="D696" s="1" t="s">
        <v>453</v>
      </c>
      <c r="E696" s="1" t="s">
        <v>68</v>
      </c>
      <c r="F696" s="1" t="s">
        <v>69</v>
      </c>
      <c r="G696" s="1" t="s">
        <v>254</v>
      </c>
      <c r="H696" s="1" t="s">
        <v>255</v>
      </c>
      <c r="I696" s="1" t="s">
        <v>30</v>
      </c>
      <c r="J696" s="1">
        <v>7</v>
      </c>
      <c r="K696" s="2">
        <v>839</v>
      </c>
      <c r="L696" s="5">
        <v>4698.3999999999996</v>
      </c>
      <c r="M696" s="5">
        <v>1211.6600000000001</v>
      </c>
      <c r="N696" s="1" t="s">
        <v>21</v>
      </c>
      <c r="O696" s="1" t="s">
        <v>22</v>
      </c>
      <c r="P696" s="1" t="str">
        <f t="shared" si="10"/>
        <v>Low Value</v>
      </c>
    </row>
    <row r="697" spans="1:16" x14ac:dyDescent="0.35">
      <c r="A697" s="3" t="s">
        <v>1111</v>
      </c>
      <c r="B697" s="4">
        <v>45733</v>
      </c>
      <c r="C697" s="1" t="s">
        <v>527</v>
      </c>
      <c r="D697" s="1" t="s">
        <v>528</v>
      </c>
      <c r="E697" s="1" t="s">
        <v>85</v>
      </c>
      <c r="F697" s="1" t="s">
        <v>86</v>
      </c>
      <c r="G697" s="1" t="s">
        <v>70</v>
      </c>
      <c r="H697" s="1" t="s">
        <v>71</v>
      </c>
      <c r="I697" s="1" t="s">
        <v>44</v>
      </c>
      <c r="J697" s="1">
        <v>7</v>
      </c>
      <c r="K697" s="2">
        <v>3299</v>
      </c>
      <c r="L697" s="5">
        <v>21938.35</v>
      </c>
      <c r="M697" s="5">
        <v>6784.24</v>
      </c>
      <c r="N697" s="1" t="s">
        <v>89</v>
      </c>
      <c r="O697" s="1" t="s">
        <v>22</v>
      </c>
      <c r="P697" s="1" t="str">
        <f t="shared" si="10"/>
        <v>High Value</v>
      </c>
    </row>
    <row r="698" spans="1:16" x14ac:dyDescent="0.35">
      <c r="A698" s="3" t="s">
        <v>1112</v>
      </c>
      <c r="B698" s="4">
        <v>45794</v>
      </c>
      <c r="C698" s="1" t="s">
        <v>294</v>
      </c>
      <c r="D698" s="1" t="s">
        <v>116</v>
      </c>
      <c r="E698" s="1" t="s">
        <v>101</v>
      </c>
      <c r="F698" s="1" t="s">
        <v>86</v>
      </c>
      <c r="G698" s="1" t="s">
        <v>57</v>
      </c>
      <c r="H698" s="1" t="s">
        <v>58</v>
      </c>
      <c r="I698" s="1" t="s">
        <v>44</v>
      </c>
      <c r="J698" s="1">
        <v>4</v>
      </c>
      <c r="K698" s="2">
        <v>399</v>
      </c>
      <c r="L698" s="5">
        <v>1596</v>
      </c>
      <c r="M698" s="5">
        <v>231.39</v>
      </c>
      <c r="N698" s="1" t="s">
        <v>45</v>
      </c>
      <c r="O698" s="1" t="s">
        <v>22</v>
      </c>
      <c r="P698" s="1" t="str">
        <f t="shared" si="10"/>
        <v>Low Value</v>
      </c>
    </row>
    <row r="699" spans="1:16" x14ac:dyDescent="0.35">
      <c r="A699" s="3" t="s">
        <v>1113</v>
      </c>
      <c r="B699" s="4">
        <v>45895</v>
      </c>
      <c r="C699" s="1" t="s">
        <v>676</v>
      </c>
      <c r="D699" s="1" t="s">
        <v>677</v>
      </c>
      <c r="E699" s="1" t="s">
        <v>80</v>
      </c>
      <c r="F699" s="1" t="s">
        <v>81</v>
      </c>
      <c r="G699" s="1" t="s">
        <v>87</v>
      </c>
      <c r="H699" s="1" t="s">
        <v>88</v>
      </c>
      <c r="I699" s="1" t="s">
        <v>52</v>
      </c>
      <c r="J699" s="1">
        <v>7</v>
      </c>
      <c r="K699" s="2">
        <v>7149</v>
      </c>
      <c r="L699" s="5">
        <v>50043</v>
      </c>
      <c r="M699" s="5">
        <v>8228.9699999999993</v>
      </c>
      <c r="N699" s="1" t="s">
        <v>59</v>
      </c>
      <c r="O699" s="1" t="s">
        <v>22</v>
      </c>
      <c r="P699" s="1" t="str">
        <f t="shared" si="10"/>
        <v>High Value</v>
      </c>
    </row>
    <row r="700" spans="1:16" x14ac:dyDescent="0.35">
      <c r="A700" s="3" t="s">
        <v>1114</v>
      </c>
      <c r="B700" s="4">
        <v>45800</v>
      </c>
      <c r="C700" s="1" t="s">
        <v>39</v>
      </c>
      <c r="D700" s="1" t="s">
        <v>40</v>
      </c>
      <c r="E700" s="1" t="s">
        <v>80</v>
      </c>
      <c r="F700" s="1" t="s">
        <v>81</v>
      </c>
      <c r="G700" s="1" t="s">
        <v>198</v>
      </c>
      <c r="H700" s="1" t="s">
        <v>199</v>
      </c>
      <c r="I700" s="1" t="s">
        <v>37</v>
      </c>
      <c r="J700" s="1">
        <v>1</v>
      </c>
      <c r="K700" s="2">
        <v>769</v>
      </c>
      <c r="L700" s="5">
        <v>692.1</v>
      </c>
      <c r="M700" s="5">
        <v>202.16</v>
      </c>
      <c r="N700" s="1" t="s">
        <v>89</v>
      </c>
      <c r="O700" s="1" t="s">
        <v>136</v>
      </c>
      <c r="P700" s="1" t="str">
        <f t="shared" si="10"/>
        <v>Low Value</v>
      </c>
    </row>
    <row r="701" spans="1:16" x14ac:dyDescent="0.35">
      <c r="A701" s="3" t="s">
        <v>1115</v>
      </c>
      <c r="B701" s="4">
        <v>45818</v>
      </c>
      <c r="C701" s="1" t="s">
        <v>429</v>
      </c>
      <c r="D701" s="1" t="s">
        <v>430</v>
      </c>
      <c r="E701" s="1" t="s">
        <v>49</v>
      </c>
      <c r="F701" s="1" t="s">
        <v>49</v>
      </c>
      <c r="G701" s="1" t="s">
        <v>182</v>
      </c>
      <c r="H701" s="1" t="s">
        <v>183</v>
      </c>
      <c r="I701" s="1" t="s">
        <v>20</v>
      </c>
      <c r="J701" s="1">
        <v>7</v>
      </c>
      <c r="K701" s="2">
        <v>1799</v>
      </c>
      <c r="L701" s="5">
        <v>10074.4</v>
      </c>
      <c r="M701" s="5">
        <v>2666.04</v>
      </c>
      <c r="N701" s="1" t="s">
        <v>89</v>
      </c>
      <c r="O701" s="1" t="s">
        <v>22</v>
      </c>
      <c r="P701" s="1" t="str">
        <f t="shared" si="10"/>
        <v>High Value</v>
      </c>
    </row>
    <row r="702" spans="1:16" x14ac:dyDescent="0.35">
      <c r="A702" s="3" t="s">
        <v>1116</v>
      </c>
      <c r="B702" s="4">
        <v>45729</v>
      </c>
      <c r="C702" s="1" t="s">
        <v>694</v>
      </c>
      <c r="D702" s="1" t="s">
        <v>695</v>
      </c>
      <c r="E702" s="1" t="s">
        <v>94</v>
      </c>
      <c r="F702" s="1" t="s">
        <v>27</v>
      </c>
      <c r="G702" s="1" t="s">
        <v>28</v>
      </c>
      <c r="H702" s="1" t="s">
        <v>29</v>
      </c>
      <c r="I702" s="1" t="s">
        <v>30</v>
      </c>
      <c r="J702" s="1">
        <v>2</v>
      </c>
      <c r="K702" s="2">
        <v>1679</v>
      </c>
      <c r="L702" s="5">
        <v>2686.4</v>
      </c>
      <c r="M702" s="5">
        <v>812.3</v>
      </c>
      <c r="N702" s="1" t="s">
        <v>21</v>
      </c>
      <c r="O702" s="1" t="s">
        <v>22</v>
      </c>
      <c r="P702" s="1" t="str">
        <f t="shared" si="10"/>
        <v>Low Value</v>
      </c>
    </row>
    <row r="703" spans="1:16" x14ac:dyDescent="0.35">
      <c r="A703" s="3" t="s">
        <v>1117</v>
      </c>
      <c r="B703" s="4">
        <v>45779</v>
      </c>
      <c r="C703" s="1" t="s">
        <v>1118</v>
      </c>
      <c r="D703" s="1" t="s">
        <v>124</v>
      </c>
      <c r="E703" s="1" t="s">
        <v>94</v>
      </c>
      <c r="F703" s="1" t="s">
        <v>27</v>
      </c>
      <c r="G703" s="1" t="s">
        <v>42</v>
      </c>
      <c r="H703" s="1" t="s">
        <v>43</v>
      </c>
      <c r="I703" s="1" t="s">
        <v>44</v>
      </c>
      <c r="J703" s="1">
        <v>6</v>
      </c>
      <c r="K703" s="2">
        <v>944</v>
      </c>
      <c r="L703" s="5">
        <v>4531.2</v>
      </c>
      <c r="M703" s="5">
        <v>932.47</v>
      </c>
      <c r="N703" s="1" t="s">
        <v>45</v>
      </c>
      <c r="O703" s="1" t="s">
        <v>90</v>
      </c>
      <c r="P703" s="1" t="str">
        <f t="shared" si="10"/>
        <v>Low Value</v>
      </c>
    </row>
    <row r="704" spans="1:16" x14ac:dyDescent="0.35">
      <c r="A704" s="3" t="s">
        <v>1119</v>
      </c>
      <c r="B704" s="4">
        <v>45731</v>
      </c>
      <c r="C704" s="1" t="s">
        <v>191</v>
      </c>
      <c r="D704" s="1" t="s">
        <v>192</v>
      </c>
      <c r="E704" s="1" t="s">
        <v>101</v>
      </c>
      <c r="F704" s="1" t="s">
        <v>86</v>
      </c>
      <c r="G704" s="1" t="s">
        <v>161</v>
      </c>
      <c r="H704" s="1" t="s">
        <v>162</v>
      </c>
      <c r="I704" s="1" t="s">
        <v>37</v>
      </c>
      <c r="J704" s="1">
        <v>5</v>
      </c>
      <c r="K704" s="2">
        <v>2299</v>
      </c>
      <c r="L704" s="5">
        <v>10345.5</v>
      </c>
      <c r="M704" s="5">
        <v>1820.26</v>
      </c>
      <c r="N704" s="1" t="s">
        <v>21</v>
      </c>
      <c r="O704" s="1" t="s">
        <v>22</v>
      </c>
      <c r="P704" s="1" t="str">
        <f t="shared" si="10"/>
        <v>High Value</v>
      </c>
    </row>
    <row r="705" spans="1:16" x14ac:dyDescent="0.35">
      <c r="A705" s="3" t="s">
        <v>1120</v>
      </c>
      <c r="B705" s="4">
        <v>45849</v>
      </c>
      <c r="C705" s="1" t="s">
        <v>291</v>
      </c>
      <c r="D705" s="1" t="s">
        <v>292</v>
      </c>
      <c r="E705" s="1" t="s">
        <v>94</v>
      </c>
      <c r="F705" s="1" t="s">
        <v>27</v>
      </c>
      <c r="G705" s="1" t="s">
        <v>42</v>
      </c>
      <c r="H705" s="1" t="s">
        <v>43</v>
      </c>
      <c r="I705" s="1" t="s">
        <v>44</v>
      </c>
      <c r="J705" s="1">
        <v>7</v>
      </c>
      <c r="K705" s="2">
        <v>899</v>
      </c>
      <c r="L705" s="5">
        <v>5034.3999999999996</v>
      </c>
      <c r="M705" s="5">
        <v>876.97</v>
      </c>
      <c r="N705" s="1" t="s">
        <v>59</v>
      </c>
      <c r="O705" s="1" t="s">
        <v>90</v>
      </c>
      <c r="P705" s="1" t="str">
        <f t="shared" si="10"/>
        <v>Medium Value</v>
      </c>
    </row>
    <row r="706" spans="1:16" x14ac:dyDescent="0.35">
      <c r="A706" s="3" t="s">
        <v>1121</v>
      </c>
      <c r="B706" s="4">
        <v>45843</v>
      </c>
      <c r="C706" s="1" t="s">
        <v>210</v>
      </c>
      <c r="D706" s="1" t="s">
        <v>211</v>
      </c>
      <c r="E706" s="1" t="s">
        <v>312</v>
      </c>
      <c r="F706" s="1" t="s">
        <v>112</v>
      </c>
      <c r="G706" s="1" t="s">
        <v>70</v>
      </c>
      <c r="H706" s="1" t="s">
        <v>71</v>
      </c>
      <c r="I706" s="1" t="s">
        <v>44</v>
      </c>
      <c r="J706" s="1">
        <v>1</v>
      </c>
      <c r="K706" s="2">
        <v>3629</v>
      </c>
      <c r="L706" s="5">
        <v>3084.65</v>
      </c>
      <c r="M706" s="5">
        <v>393.78</v>
      </c>
      <c r="N706" s="1" t="s">
        <v>89</v>
      </c>
      <c r="O706" s="1" t="s">
        <v>22</v>
      </c>
      <c r="P706" s="1" t="str">
        <f t="shared" ref="P706:P769" si="11">IF(L706&gt;=10000,"High Value",IF(L706&gt;=5000,"Medium Value","Low Value"))</f>
        <v>Low Value</v>
      </c>
    </row>
    <row r="707" spans="1:16" x14ac:dyDescent="0.35">
      <c r="A707" s="3" t="s">
        <v>1122</v>
      </c>
      <c r="B707" s="4">
        <v>45780</v>
      </c>
      <c r="C707" s="1" t="s">
        <v>216</v>
      </c>
      <c r="D707" s="1" t="s">
        <v>217</v>
      </c>
      <c r="E707" s="1" t="s">
        <v>80</v>
      </c>
      <c r="F707" s="1" t="s">
        <v>81</v>
      </c>
      <c r="G707" s="1" t="s">
        <v>262</v>
      </c>
      <c r="H707" s="1" t="s">
        <v>263</v>
      </c>
      <c r="I707" s="1" t="s">
        <v>97</v>
      </c>
      <c r="J707" s="1">
        <v>5</v>
      </c>
      <c r="K707" s="2">
        <v>164</v>
      </c>
      <c r="L707" s="5">
        <v>656</v>
      </c>
      <c r="M707" s="5">
        <v>131.09</v>
      </c>
      <c r="N707" s="1" t="s">
        <v>89</v>
      </c>
      <c r="O707" s="1" t="s">
        <v>22</v>
      </c>
      <c r="P707" s="1" t="str">
        <f t="shared" si="11"/>
        <v>Low Value</v>
      </c>
    </row>
    <row r="708" spans="1:16" x14ac:dyDescent="0.35">
      <c r="A708" s="3" t="s">
        <v>1123</v>
      </c>
      <c r="B708" s="4">
        <v>45884</v>
      </c>
      <c r="C708" s="1" t="s">
        <v>164</v>
      </c>
      <c r="D708" s="1" t="s">
        <v>165</v>
      </c>
      <c r="E708" s="1" t="s">
        <v>166</v>
      </c>
      <c r="F708" s="1" t="s">
        <v>27</v>
      </c>
      <c r="G708" s="1" t="s">
        <v>262</v>
      </c>
      <c r="H708" s="1" t="s">
        <v>263</v>
      </c>
      <c r="I708" s="1" t="s">
        <v>97</v>
      </c>
      <c r="J708" s="1">
        <v>5</v>
      </c>
      <c r="K708" s="2">
        <v>149</v>
      </c>
      <c r="L708" s="5">
        <v>745</v>
      </c>
      <c r="M708" s="5">
        <v>242.86</v>
      </c>
      <c r="N708" s="1" t="s">
        <v>45</v>
      </c>
      <c r="O708" s="1" t="s">
        <v>22</v>
      </c>
      <c r="P708" s="1" t="str">
        <f t="shared" si="11"/>
        <v>Low Value</v>
      </c>
    </row>
    <row r="709" spans="1:16" x14ac:dyDescent="0.35">
      <c r="A709" s="3" t="s">
        <v>1124</v>
      </c>
      <c r="B709" s="4">
        <v>45882</v>
      </c>
      <c r="C709" s="1" t="s">
        <v>727</v>
      </c>
      <c r="D709" s="1" t="s">
        <v>728</v>
      </c>
      <c r="E709" s="1" t="s">
        <v>111</v>
      </c>
      <c r="F709" s="1" t="s">
        <v>112</v>
      </c>
      <c r="G709" s="1" t="s">
        <v>87</v>
      </c>
      <c r="H709" s="1" t="s">
        <v>88</v>
      </c>
      <c r="I709" s="1" t="s">
        <v>52</v>
      </c>
      <c r="J709" s="1">
        <v>1</v>
      </c>
      <c r="K709" s="2">
        <v>6499</v>
      </c>
      <c r="L709" s="5">
        <v>6499</v>
      </c>
      <c r="M709" s="5">
        <v>1956.87</v>
      </c>
      <c r="N709" s="1" t="s">
        <v>113</v>
      </c>
      <c r="O709" s="1" t="s">
        <v>22</v>
      </c>
      <c r="P709" s="1" t="str">
        <f t="shared" si="11"/>
        <v>Medium Value</v>
      </c>
    </row>
    <row r="710" spans="1:16" x14ac:dyDescent="0.35">
      <c r="A710" s="3" t="s">
        <v>1125</v>
      </c>
      <c r="B710" s="4">
        <v>45828</v>
      </c>
      <c r="C710" s="1" t="s">
        <v>407</v>
      </c>
      <c r="D710" s="1" t="s">
        <v>15</v>
      </c>
      <c r="E710" s="1" t="s">
        <v>94</v>
      </c>
      <c r="F710" s="1" t="s">
        <v>27</v>
      </c>
      <c r="G710" s="1" t="s">
        <v>198</v>
      </c>
      <c r="H710" s="1" t="s">
        <v>199</v>
      </c>
      <c r="I710" s="1" t="s">
        <v>37</v>
      </c>
      <c r="J710" s="1">
        <v>5</v>
      </c>
      <c r="K710" s="2">
        <v>734</v>
      </c>
      <c r="L710" s="5">
        <v>3670</v>
      </c>
      <c r="M710" s="5">
        <v>724.49</v>
      </c>
      <c r="N710" s="1" t="s">
        <v>21</v>
      </c>
      <c r="O710" s="1" t="s">
        <v>22</v>
      </c>
      <c r="P710" s="1" t="str">
        <f t="shared" si="11"/>
        <v>Low Value</v>
      </c>
    </row>
    <row r="711" spans="1:16" x14ac:dyDescent="0.35">
      <c r="A711" s="3" t="s">
        <v>1126</v>
      </c>
      <c r="B711" s="4">
        <v>45825</v>
      </c>
      <c r="C711" s="1" t="s">
        <v>496</v>
      </c>
      <c r="D711" s="1" t="s">
        <v>366</v>
      </c>
      <c r="E711" s="1" t="s">
        <v>166</v>
      </c>
      <c r="F711" s="1" t="s">
        <v>27</v>
      </c>
      <c r="G711" s="1" t="s">
        <v>177</v>
      </c>
      <c r="H711" s="1" t="s">
        <v>178</v>
      </c>
      <c r="I711" s="1" t="s">
        <v>20</v>
      </c>
      <c r="J711" s="1">
        <v>3</v>
      </c>
      <c r="K711" s="2">
        <v>2749</v>
      </c>
      <c r="L711" s="5">
        <v>7422.3</v>
      </c>
      <c r="M711" s="5">
        <v>2182.34</v>
      </c>
      <c r="N711" s="1" t="s">
        <v>45</v>
      </c>
      <c r="O711" s="1" t="s">
        <v>22</v>
      </c>
      <c r="P711" s="1" t="str">
        <f t="shared" si="11"/>
        <v>Medium Value</v>
      </c>
    </row>
    <row r="712" spans="1:16" x14ac:dyDescent="0.35">
      <c r="A712" s="3" t="s">
        <v>1127</v>
      </c>
      <c r="B712" s="4">
        <v>45979</v>
      </c>
      <c r="C712" s="1" t="s">
        <v>511</v>
      </c>
      <c r="D712" s="1" t="s">
        <v>512</v>
      </c>
      <c r="E712" s="1" t="s">
        <v>111</v>
      </c>
      <c r="F712" s="1" t="s">
        <v>112</v>
      </c>
      <c r="G712" s="1" t="s">
        <v>28</v>
      </c>
      <c r="H712" s="1" t="s">
        <v>29</v>
      </c>
      <c r="I712" s="1" t="s">
        <v>30</v>
      </c>
      <c r="J712" s="1">
        <v>2</v>
      </c>
      <c r="K712" s="2">
        <v>1439</v>
      </c>
      <c r="L712" s="5">
        <v>2878</v>
      </c>
      <c r="M712" s="5">
        <v>503.4</v>
      </c>
      <c r="N712" s="1" t="s">
        <v>45</v>
      </c>
      <c r="O712" s="1" t="s">
        <v>136</v>
      </c>
      <c r="P712" s="1" t="str">
        <f t="shared" si="11"/>
        <v>Low Value</v>
      </c>
    </row>
    <row r="713" spans="1:16" x14ac:dyDescent="0.35">
      <c r="A713" s="3" t="s">
        <v>1128</v>
      </c>
      <c r="B713" s="4">
        <v>45868</v>
      </c>
      <c r="C713" s="1" t="s">
        <v>624</v>
      </c>
      <c r="D713" s="1" t="s">
        <v>625</v>
      </c>
      <c r="E713" s="1" t="s">
        <v>172</v>
      </c>
      <c r="F713" s="1" t="s">
        <v>173</v>
      </c>
      <c r="G713" s="1" t="s">
        <v>105</v>
      </c>
      <c r="H713" s="1" t="s">
        <v>106</v>
      </c>
      <c r="I713" s="1" t="s">
        <v>107</v>
      </c>
      <c r="J713" s="1">
        <v>3</v>
      </c>
      <c r="K713" s="2">
        <v>999</v>
      </c>
      <c r="L713" s="5">
        <v>2997</v>
      </c>
      <c r="M713" s="5">
        <v>812.91</v>
      </c>
      <c r="N713" s="1" t="s">
        <v>59</v>
      </c>
      <c r="O713" s="1" t="s">
        <v>136</v>
      </c>
      <c r="P713" s="1" t="str">
        <f t="shared" si="11"/>
        <v>Low Value</v>
      </c>
    </row>
    <row r="714" spans="1:16" x14ac:dyDescent="0.35">
      <c r="A714" s="3" t="s">
        <v>1129</v>
      </c>
      <c r="B714" s="4">
        <v>45701</v>
      </c>
      <c r="C714" s="1" t="s">
        <v>466</v>
      </c>
      <c r="D714" s="1" t="s">
        <v>467</v>
      </c>
      <c r="E714" s="1" t="s">
        <v>312</v>
      </c>
      <c r="F714" s="1" t="s">
        <v>112</v>
      </c>
      <c r="G714" s="1" t="s">
        <v>198</v>
      </c>
      <c r="H714" s="1" t="s">
        <v>199</v>
      </c>
      <c r="I714" s="1" t="s">
        <v>37</v>
      </c>
      <c r="J714" s="1">
        <v>7</v>
      </c>
      <c r="K714" s="2">
        <v>699</v>
      </c>
      <c r="L714" s="5">
        <v>4159.05</v>
      </c>
      <c r="M714" s="5">
        <v>704.49</v>
      </c>
      <c r="N714" s="1" t="s">
        <v>89</v>
      </c>
      <c r="O714" s="1" t="s">
        <v>90</v>
      </c>
      <c r="P714" s="1" t="str">
        <f t="shared" si="11"/>
        <v>Low Value</v>
      </c>
    </row>
    <row r="715" spans="1:16" x14ac:dyDescent="0.35">
      <c r="A715" s="3" t="s">
        <v>1130</v>
      </c>
      <c r="B715" s="4">
        <v>45971</v>
      </c>
      <c r="C715" s="1" t="s">
        <v>234</v>
      </c>
      <c r="D715" s="1" t="s">
        <v>235</v>
      </c>
      <c r="E715" s="1" t="s">
        <v>141</v>
      </c>
      <c r="F715" s="1" t="s">
        <v>69</v>
      </c>
      <c r="G715" s="1" t="s">
        <v>182</v>
      </c>
      <c r="H715" s="1" t="s">
        <v>183</v>
      </c>
      <c r="I715" s="1" t="s">
        <v>20</v>
      </c>
      <c r="J715" s="1">
        <v>8</v>
      </c>
      <c r="K715" s="2">
        <v>1799</v>
      </c>
      <c r="L715" s="5">
        <v>13672.4</v>
      </c>
      <c r="M715" s="5">
        <v>3750.03</v>
      </c>
      <c r="N715" s="1" t="s">
        <v>45</v>
      </c>
      <c r="O715" s="1" t="s">
        <v>22</v>
      </c>
      <c r="P715" s="1" t="str">
        <f t="shared" si="11"/>
        <v>High Value</v>
      </c>
    </row>
    <row r="716" spans="1:16" x14ac:dyDescent="0.35">
      <c r="A716" s="3" t="s">
        <v>1131</v>
      </c>
      <c r="B716" s="4">
        <v>45877</v>
      </c>
      <c r="C716" s="1" t="s">
        <v>1118</v>
      </c>
      <c r="D716" s="1" t="s">
        <v>124</v>
      </c>
      <c r="E716" s="1" t="s">
        <v>68</v>
      </c>
      <c r="F716" s="1" t="s">
        <v>69</v>
      </c>
      <c r="G716" s="1" t="s">
        <v>18</v>
      </c>
      <c r="H716" s="1" t="s">
        <v>19</v>
      </c>
      <c r="I716" s="1" t="s">
        <v>20</v>
      </c>
      <c r="J716" s="1">
        <v>2</v>
      </c>
      <c r="K716" s="2">
        <v>3999</v>
      </c>
      <c r="L716" s="5">
        <v>7998</v>
      </c>
      <c r="M716" s="5">
        <v>2626.49</v>
      </c>
      <c r="N716" s="1" t="s">
        <v>89</v>
      </c>
      <c r="O716" s="1" t="s">
        <v>22</v>
      </c>
      <c r="P716" s="1" t="str">
        <f t="shared" si="11"/>
        <v>Medium Value</v>
      </c>
    </row>
    <row r="717" spans="1:16" x14ac:dyDescent="0.35">
      <c r="A717" s="3" t="s">
        <v>1132</v>
      </c>
      <c r="B717" s="4">
        <v>45880</v>
      </c>
      <c r="C717" s="1" t="s">
        <v>496</v>
      </c>
      <c r="D717" s="1" t="s">
        <v>366</v>
      </c>
      <c r="E717" s="1" t="s">
        <v>16</v>
      </c>
      <c r="F717" s="1" t="s">
        <v>17</v>
      </c>
      <c r="G717" s="1" t="s">
        <v>120</v>
      </c>
      <c r="H717" s="1" t="s">
        <v>121</v>
      </c>
      <c r="I717" s="1" t="s">
        <v>20</v>
      </c>
      <c r="J717" s="1">
        <v>4</v>
      </c>
      <c r="K717" s="2">
        <v>1649</v>
      </c>
      <c r="L717" s="5">
        <v>6596</v>
      </c>
      <c r="M717" s="5">
        <v>1068.02</v>
      </c>
      <c r="N717" s="1" t="s">
        <v>59</v>
      </c>
      <c r="O717" s="1" t="s">
        <v>22</v>
      </c>
      <c r="P717" s="1" t="str">
        <f t="shared" si="11"/>
        <v>Medium Value</v>
      </c>
    </row>
    <row r="718" spans="1:16" x14ac:dyDescent="0.35">
      <c r="A718" s="3" t="s">
        <v>1133</v>
      </c>
      <c r="B718" s="4">
        <v>45853</v>
      </c>
      <c r="C718" s="1" t="s">
        <v>338</v>
      </c>
      <c r="D718" s="1" t="s">
        <v>339</v>
      </c>
      <c r="E718" s="1" t="s">
        <v>75</v>
      </c>
      <c r="F718" s="1" t="s">
        <v>76</v>
      </c>
      <c r="G718" s="1" t="s">
        <v>161</v>
      </c>
      <c r="H718" s="1" t="s">
        <v>162</v>
      </c>
      <c r="I718" s="1" t="s">
        <v>37</v>
      </c>
      <c r="J718" s="1">
        <v>4</v>
      </c>
      <c r="K718" s="2">
        <v>2299</v>
      </c>
      <c r="L718" s="5">
        <v>7356.8</v>
      </c>
      <c r="M718" s="5">
        <v>1978.84</v>
      </c>
      <c r="N718" s="1" t="s">
        <v>113</v>
      </c>
      <c r="O718" s="1" t="s">
        <v>22</v>
      </c>
      <c r="P718" s="1" t="str">
        <f t="shared" si="11"/>
        <v>Medium Value</v>
      </c>
    </row>
    <row r="719" spans="1:16" x14ac:dyDescent="0.35">
      <c r="A719" s="3" t="s">
        <v>1134</v>
      </c>
      <c r="B719" s="4">
        <v>45672</v>
      </c>
      <c r="C719" s="1" t="s">
        <v>735</v>
      </c>
      <c r="D719" s="1" t="s">
        <v>736</v>
      </c>
      <c r="E719" s="1" t="s">
        <v>68</v>
      </c>
      <c r="F719" s="1" t="s">
        <v>69</v>
      </c>
      <c r="G719" s="1" t="s">
        <v>35</v>
      </c>
      <c r="H719" s="1" t="s">
        <v>36</v>
      </c>
      <c r="I719" s="1" t="s">
        <v>37</v>
      </c>
      <c r="J719" s="1">
        <v>8</v>
      </c>
      <c r="K719" s="2">
        <v>1299</v>
      </c>
      <c r="L719" s="5">
        <v>9872.4</v>
      </c>
      <c r="M719" s="5">
        <v>2450.71</v>
      </c>
      <c r="N719" s="1" t="s">
        <v>113</v>
      </c>
      <c r="O719" s="1" t="s">
        <v>22</v>
      </c>
      <c r="P719" s="1" t="str">
        <f t="shared" si="11"/>
        <v>Medium Value</v>
      </c>
    </row>
    <row r="720" spans="1:16" x14ac:dyDescent="0.35">
      <c r="A720" s="3" t="s">
        <v>1135</v>
      </c>
      <c r="B720" s="4">
        <v>45726</v>
      </c>
      <c r="C720" s="1" t="s">
        <v>704</v>
      </c>
      <c r="D720" s="1" t="s">
        <v>705</v>
      </c>
      <c r="E720" s="1" t="s">
        <v>145</v>
      </c>
      <c r="F720" s="1" t="s">
        <v>0</v>
      </c>
      <c r="G720" s="1" t="s">
        <v>161</v>
      </c>
      <c r="H720" s="1" t="s">
        <v>162</v>
      </c>
      <c r="I720" s="1" t="s">
        <v>37</v>
      </c>
      <c r="J720" s="1">
        <v>7</v>
      </c>
      <c r="K720" s="2">
        <v>2529</v>
      </c>
      <c r="L720" s="5">
        <v>15932.7</v>
      </c>
      <c r="M720" s="5">
        <v>4492.1099999999997</v>
      </c>
      <c r="N720" s="1" t="s">
        <v>59</v>
      </c>
      <c r="O720" s="1" t="s">
        <v>22</v>
      </c>
      <c r="P720" s="1" t="str">
        <f t="shared" si="11"/>
        <v>High Value</v>
      </c>
    </row>
    <row r="721" spans="1:16" x14ac:dyDescent="0.35">
      <c r="A721" s="3" t="s">
        <v>1136</v>
      </c>
      <c r="B721" s="4">
        <v>45688</v>
      </c>
      <c r="C721" s="1" t="s">
        <v>531</v>
      </c>
      <c r="D721" s="1" t="s">
        <v>532</v>
      </c>
      <c r="E721" s="1" t="s">
        <v>111</v>
      </c>
      <c r="F721" s="1" t="s">
        <v>112</v>
      </c>
      <c r="G721" s="1" t="s">
        <v>35</v>
      </c>
      <c r="H721" s="1" t="s">
        <v>36</v>
      </c>
      <c r="I721" s="1" t="s">
        <v>37</v>
      </c>
      <c r="J721" s="1">
        <v>8</v>
      </c>
      <c r="K721" s="2">
        <v>1299</v>
      </c>
      <c r="L721" s="5">
        <v>8833.2000000000007</v>
      </c>
      <c r="M721" s="5">
        <v>2885.37</v>
      </c>
      <c r="N721" s="1" t="s">
        <v>21</v>
      </c>
      <c r="O721" s="1" t="s">
        <v>22</v>
      </c>
      <c r="P721" s="1" t="str">
        <f t="shared" si="11"/>
        <v>Medium Value</v>
      </c>
    </row>
    <row r="722" spans="1:16" x14ac:dyDescent="0.35">
      <c r="A722" s="3" t="s">
        <v>1137</v>
      </c>
      <c r="B722" s="4">
        <v>45660</v>
      </c>
      <c r="C722" s="1" t="s">
        <v>216</v>
      </c>
      <c r="D722" s="1" t="s">
        <v>217</v>
      </c>
      <c r="E722" s="1" t="s">
        <v>41</v>
      </c>
      <c r="F722" s="1" t="s">
        <v>17</v>
      </c>
      <c r="G722" s="1" t="s">
        <v>131</v>
      </c>
      <c r="H722" s="1" t="s">
        <v>132</v>
      </c>
      <c r="I722" s="1" t="s">
        <v>44</v>
      </c>
      <c r="J722" s="1">
        <v>7</v>
      </c>
      <c r="K722" s="2">
        <v>549</v>
      </c>
      <c r="L722" s="5">
        <v>3458.7</v>
      </c>
      <c r="M722" s="5">
        <v>925.82</v>
      </c>
      <c r="N722" s="1" t="s">
        <v>45</v>
      </c>
      <c r="O722" s="1" t="s">
        <v>53</v>
      </c>
      <c r="P722" s="1" t="str">
        <f t="shared" si="11"/>
        <v>Low Value</v>
      </c>
    </row>
    <row r="723" spans="1:16" x14ac:dyDescent="0.35">
      <c r="A723" s="3" t="s">
        <v>1138</v>
      </c>
      <c r="B723" s="4">
        <v>45679</v>
      </c>
      <c r="C723" s="1" t="s">
        <v>444</v>
      </c>
      <c r="D723" s="1" t="s">
        <v>445</v>
      </c>
      <c r="E723" s="1" t="s">
        <v>101</v>
      </c>
      <c r="F723" s="1" t="s">
        <v>86</v>
      </c>
      <c r="G723" s="1" t="s">
        <v>57</v>
      </c>
      <c r="H723" s="1" t="s">
        <v>58</v>
      </c>
      <c r="I723" s="1" t="s">
        <v>44</v>
      </c>
      <c r="J723" s="1">
        <v>3</v>
      </c>
      <c r="K723" s="2">
        <v>419</v>
      </c>
      <c r="L723" s="5">
        <v>1131.3</v>
      </c>
      <c r="M723" s="5">
        <v>367.3</v>
      </c>
      <c r="N723" s="1" t="s">
        <v>113</v>
      </c>
      <c r="O723" s="1" t="s">
        <v>22</v>
      </c>
      <c r="P723" s="1" t="str">
        <f t="shared" si="11"/>
        <v>Low Value</v>
      </c>
    </row>
    <row r="724" spans="1:16" x14ac:dyDescent="0.35">
      <c r="A724" s="3" t="s">
        <v>1139</v>
      </c>
      <c r="B724" s="4">
        <v>46021</v>
      </c>
      <c r="C724" s="1" t="s">
        <v>150</v>
      </c>
      <c r="D724" s="1" t="s">
        <v>151</v>
      </c>
      <c r="E724" s="1" t="s">
        <v>75</v>
      </c>
      <c r="F724" s="1" t="s">
        <v>76</v>
      </c>
      <c r="G724" s="1" t="s">
        <v>18</v>
      </c>
      <c r="H724" s="1" t="s">
        <v>19</v>
      </c>
      <c r="I724" s="1" t="s">
        <v>20</v>
      </c>
      <c r="J724" s="1">
        <v>5</v>
      </c>
      <c r="K724" s="2">
        <v>3599</v>
      </c>
      <c r="L724" s="5">
        <v>17095.25</v>
      </c>
      <c r="M724" s="5">
        <v>2217.52</v>
      </c>
      <c r="N724" s="1" t="s">
        <v>45</v>
      </c>
      <c r="O724" s="1" t="s">
        <v>22</v>
      </c>
      <c r="P724" s="1" t="str">
        <f t="shared" si="11"/>
        <v>High Value</v>
      </c>
    </row>
    <row r="725" spans="1:16" x14ac:dyDescent="0.35">
      <c r="A725" s="3" t="s">
        <v>1140</v>
      </c>
      <c r="B725" s="4">
        <v>45842</v>
      </c>
      <c r="C725" s="1" t="s">
        <v>456</v>
      </c>
      <c r="D725" s="1" t="s">
        <v>457</v>
      </c>
      <c r="E725" s="1" t="s">
        <v>49</v>
      </c>
      <c r="F725" s="1" t="s">
        <v>49</v>
      </c>
      <c r="G725" s="1" t="s">
        <v>57</v>
      </c>
      <c r="H725" s="1" t="s">
        <v>58</v>
      </c>
      <c r="I725" s="1" t="s">
        <v>44</v>
      </c>
      <c r="J725" s="1">
        <v>5</v>
      </c>
      <c r="K725" s="2">
        <v>419</v>
      </c>
      <c r="L725" s="5">
        <v>1990.25</v>
      </c>
      <c r="M725" s="5">
        <v>429.64</v>
      </c>
      <c r="N725" s="1" t="s">
        <v>45</v>
      </c>
      <c r="O725" s="1" t="s">
        <v>22</v>
      </c>
      <c r="P725" s="1" t="str">
        <f t="shared" si="11"/>
        <v>Low Value</v>
      </c>
    </row>
    <row r="726" spans="1:16" x14ac:dyDescent="0.35">
      <c r="A726" s="3" t="s">
        <v>1141</v>
      </c>
      <c r="B726" s="4">
        <v>45735</v>
      </c>
      <c r="C726" s="1" t="s">
        <v>342</v>
      </c>
      <c r="D726" s="1" t="s">
        <v>343</v>
      </c>
      <c r="E726" s="1" t="s">
        <v>172</v>
      </c>
      <c r="F726" s="1" t="s">
        <v>173</v>
      </c>
      <c r="G726" s="1" t="s">
        <v>177</v>
      </c>
      <c r="H726" s="1" t="s">
        <v>178</v>
      </c>
      <c r="I726" s="1" t="s">
        <v>20</v>
      </c>
      <c r="J726" s="1">
        <v>4</v>
      </c>
      <c r="K726" s="2">
        <v>2499</v>
      </c>
      <c r="L726" s="5">
        <v>9996</v>
      </c>
      <c r="M726" s="5">
        <v>1705.01</v>
      </c>
      <c r="N726" s="1" t="s">
        <v>89</v>
      </c>
      <c r="O726" s="1" t="s">
        <v>22</v>
      </c>
      <c r="P726" s="1" t="str">
        <f t="shared" si="11"/>
        <v>Medium Value</v>
      </c>
    </row>
    <row r="727" spans="1:16" x14ac:dyDescent="0.35">
      <c r="A727" s="3" t="s">
        <v>1142</v>
      </c>
      <c r="B727" s="4">
        <v>46019</v>
      </c>
      <c r="C727" s="1" t="s">
        <v>452</v>
      </c>
      <c r="D727" s="1" t="s">
        <v>453</v>
      </c>
      <c r="E727" s="1" t="s">
        <v>75</v>
      </c>
      <c r="F727" s="1" t="s">
        <v>76</v>
      </c>
      <c r="G727" s="1" t="s">
        <v>120</v>
      </c>
      <c r="H727" s="1" t="s">
        <v>121</v>
      </c>
      <c r="I727" s="1" t="s">
        <v>20</v>
      </c>
      <c r="J727" s="1">
        <v>8</v>
      </c>
      <c r="K727" s="2">
        <v>1349</v>
      </c>
      <c r="L727" s="5">
        <v>9712.7999999999993</v>
      </c>
      <c r="M727" s="5">
        <v>1927.35</v>
      </c>
      <c r="N727" s="1" t="s">
        <v>21</v>
      </c>
      <c r="O727" s="1" t="s">
        <v>22</v>
      </c>
      <c r="P727" s="1" t="str">
        <f t="shared" si="11"/>
        <v>Medium Value</v>
      </c>
    </row>
    <row r="728" spans="1:16" x14ac:dyDescent="0.35">
      <c r="A728" s="3" t="s">
        <v>1143</v>
      </c>
      <c r="B728" s="4">
        <v>45715</v>
      </c>
      <c r="C728" s="1" t="s">
        <v>857</v>
      </c>
      <c r="D728" s="1" t="s">
        <v>858</v>
      </c>
      <c r="E728" s="1" t="s">
        <v>94</v>
      </c>
      <c r="F728" s="1" t="s">
        <v>27</v>
      </c>
      <c r="G728" s="1" t="s">
        <v>95</v>
      </c>
      <c r="H728" s="1" t="s">
        <v>96</v>
      </c>
      <c r="I728" s="1" t="s">
        <v>97</v>
      </c>
      <c r="J728" s="1">
        <v>2</v>
      </c>
      <c r="K728" s="2">
        <v>249</v>
      </c>
      <c r="L728" s="5">
        <v>473.1</v>
      </c>
      <c r="M728" s="5">
        <v>75.569999999999993</v>
      </c>
      <c r="N728" s="1" t="s">
        <v>45</v>
      </c>
      <c r="O728" s="1" t="s">
        <v>22</v>
      </c>
      <c r="P728" s="1" t="str">
        <f t="shared" si="11"/>
        <v>Low Value</v>
      </c>
    </row>
    <row r="729" spans="1:16" x14ac:dyDescent="0.35">
      <c r="A729" s="3" t="s">
        <v>1144</v>
      </c>
      <c r="B729" s="4">
        <v>45946</v>
      </c>
      <c r="C729" s="1" t="s">
        <v>14</v>
      </c>
      <c r="D729" s="1" t="s">
        <v>15</v>
      </c>
      <c r="E729" s="1" t="s">
        <v>236</v>
      </c>
      <c r="F729" s="1" t="s">
        <v>86</v>
      </c>
      <c r="G729" s="1" t="s">
        <v>28</v>
      </c>
      <c r="H729" s="1" t="s">
        <v>29</v>
      </c>
      <c r="I729" s="1" t="s">
        <v>30</v>
      </c>
      <c r="J729" s="1">
        <v>1</v>
      </c>
      <c r="K729" s="2">
        <v>1679</v>
      </c>
      <c r="L729" s="5">
        <v>1427.15</v>
      </c>
      <c r="M729" s="5">
        <v>227.95</v>
      </c>
      <c r="N729" s="1" t="s">
        <v>89</v>
      </c>
      <c r="O729" s="1" t="s">
        <v>22</v>
      </c>
      <c r="P729" s="1" t="str">
        <f t="shared" si="11"/>
        <v>Low Value</v>
      </c>
    </row>
    <row r="730" spans="1:16" x14ac:dyDescent="0.35">
      <c r="A730" s="3" t="s">
        <v>1145</v>
      </c>
      <c r="B730" s="4">
        <v>46004</v>
      </c>
      <c r="C730" s="1" t="s">
        <v>600</v>
      </c>
      <c r="D730" s="1" t="s">
        <v>601</v>
      </c>
      <c r="E730" s="1" t="s">
        <v>111</v>
      </c>
      <c r="F730" s="1" t="s">
        <v>112</v>
      </c>
      <c r="G730" s="1" t="s">
        <v>63</v>
      </c>
      <c r="H730" s="1" t="s">
        <v>64</v>
      </c>
      <c r="I730" s="1" t="s">
        <v>20</v>
      </c>
      <c r="J730" s="1">
        <v>5</v>
      </c>
      <c r="K730" s="2">
        <v>659</v>
      </c>
      <c r="L730" s="5">
        <v>2636</v>
      </c>
      <c r="M730" s="5">
        <v>387.06</v>
      </c>
      <c r="N730" s="1" t="s">
        <v>59</v>
      </c>
      <c r="O730" s="1" t="s">
        <v>22</v>
      </c>
      <c r="P730" s="1" t="str">
        <f t="shared" si="11"/>
        <v>Low Value</v>
      </c>
    </row>
    <row r="731" spans="1:16" x14ac:dyDescent="0.35">
      <c r="A731" s="3" t="s">
        <v>1146</v>
      </c>
      <c r="B731" s="4">
        <v>45823</v>
      </c>
      <c r="C731" s="1" t="s">
        <v>66</v>
      </c>
      <c r="D731" s="1" t="s">
        <v>67</v>
      </c>
      <c r="E731" s="1" t="s">
        <v>166</v>
      </c>
      <c r="F731" s="1" t="s">
        <v>27</v>
      </c>
      <c r="G731" s="1" t="s">
        <v>182</v>
      </c>
      <c r="H731" s="1" t="s">
        <v>183</v>
      </c>
      <c r="I731" s="1" t="s">
        <v>20</v>
      </c>
      <c r="J731" s="1">
        <v>8</v>
      </c>
      <c r="K731" s="2">
        <v>1979</v>
      </c>
      <c r="L731" s="5">
        <v>12665.6</v>
      </c>
      <c r="M731" s="5">
        <v>2856.96</v>
      </c>
      <c r="N731" s="1" t="s">
        <v>59</v>
      </c>
      <c r="O731" s="1" t="s">
        <v>22</v>
      </c>
      <c r="P731" s="1" t="str">
        <f t="shared" si="11"/>
        <v>High Value</v>
      </c>
    </row>
    <row r="732" spans="1:16" x14ac:dyDescent="0.35">
      <c r="A732" s="3" t="s">
        <v>1147</v>
      </c>
      <c r="B732" s="4">
        <v>45826</v>
      </c>
      <c r="C732" s="1" t="s">
        <v>139</v>
      </c>
      <c r="D732" s="1" t="s">
        <v>140</v>
      </c>
      <c r="E732" s="1" t="s">
        <v>172</v>
      </c>
      <c r="F732" s="1" t="s">
        <v>173</v>
      </c>
      <c r="G732" s="1" t="s">
        <v>42</v>
      </c>
      <c r="H732" s="1" t="s">
        <v>43</v>
      </c>
      <c r="I732" s="1" t="s">
        <v>44</v>
      </c>
      <c r="J732" s="1">
        <v>3</v>
      </c>
      <c r="K732" s="2">
        <v>899</v>
      </c>
      <c r="L732" s="5">
        <v>2697</v>
      </c>
      <c r="M732" s="5">
        <v>799.24</v>
      </c>
      <c r="N732" s="1" t="s">
        <v>59</v>
      </c>
      <c r="O732" s="1" t="s">
        <v>22</v>
      </c>
      <c r="P732" s="1" t="str">
        <f t="shared" si="11"/>
        <v>Low Value</v>
      </c>
    </row>
    <row r="733" spans="1:16" x14ac:dyDescent="0.35">
      <c r="A733" s="3" t="s">
        <v>1148</v>
      </c>
      <c r="B733" s="4">
        <v>45694</v>
      </c>
      <c r="C733" s="1" t="s">
        <v>606</v>
      </c>
      <c r="D733" s="1" t="s">
        <v>74</v>
      </c>
      <c r="E733" s="1" t="s">
        <v>145</v>
      </c>
      <c r="F733" s="1" t="s">
        <v>0</v>
      </c>
      <c r="G733" s="1" t="s">
        <v>182</v>
      </c>
      <c r="H733" s="1" t="s">
        <v>183</v>
      </c>
      <c r="I733" s="1" t="s">
        <v>20</v>
      </c>
      <c r="J733" s="1">
        <v>7</v>
      </c>
      <c r="K733" s="2">
        <v>1799</v>
      </c>
      <c r="L733" s="5">
        <v>12593</v>
      </c>
      <c r="M733" s="5">
        <v>2176.29</v>
      </c>
      <c r="N733" s="1" t="s">
        <v>113</v>
      </c>
      <c r="O733" s="1" t="s">
        <v>22</v>
      </c>
      <c r="P733" s="1" t="str">
        <f t="shared" si="11"/>
        <v>High Value</v>
      </c>
    </row>
    <row r="734" spans="1:16" x14ac:dyDescent="0.35">
      <c r="A734" s="3" t="s">
        <v>1149</v>
      </c>
      <c r="B734" s="4">
        <v>45741</v>
      </c>
      <c r="C734" s="1" t="s">
        <v>164</v>
      </c>
      <c r="D734" s="1" t="s">
        <v>165</v>
      </c>
      <c r="E734" s="1" t="s">
        <v>145</v>
      </c>
      <c r="F734" s="1" t="s">
        <v>0</v>
      </c>
      <c r="G734" s="1" t="s">
        <v>70</v>
      </c>
      <c r="H734" s="1" t="s">
        <v>71</v>
      </c>
      <c r="I734" s="1" t="s">
        <v>44</v>
      </c>
      <c r="J734" s="1">
        <v>3</v>
      </c>
      <c r="K734" s="2">
        <v>2969</v>
      </c>
      <c r="L734" s="5">
        <v>8461.65</v>
      </c>
      <c r="M734" s="5">
        <v>1929.14</v>
      </c>
      <c r="N734" s="1" t="s">
        <v>113</v>
      </c>
      <c r="O734" s="1" t="s">
        <v>22</v>
      </c>
      <c r="P734" s="1" t="str">
        <f t="shared" si="11"/>
        <v>Medium Value</v>
      </c>
    </row>
    <row r="735" spans="1:16" x14ac:dyDescent="0.35">
      <c r="A735" s="3" t="s">
        <v>1150</v>
      </c>
      <c r="B735" s="4">
        <v>46008</v>
      </c>
      <c r="C735" s="1" t="s">
        <v>429</v>
      </c>
      <c r="D735" s="1" t="s">
        <v>430</v>
      </c>
      <c r="E735" s="1" t="s">
        <v>85</v>
      </c>
      <c r="F735" s="1" t="s">
        <v>86</v>
      </c>
      <c r="G735" s="1" t="s">
        <v>95</v>
      </c>
      <c r="H735" s="1" t="s">
        <v>96</v>
      </c>
      <c r="I735" s="1" t="s">
        <v>97</v>
      </c>
      <c r="J735" s="1">
        <v>2</v>
      </c>
      <c r="K735" s="2">
        <v>249</v>
      </c>
      <c r="L735" s="5">
        <v>423.3</v>
      </c>
      <c r="M735" s="5">
        <v>69.41</v>
      </c>
      <c r="N735" s="1" t="s">
        <v>113</v>
      </c>
      <c r="O735" s="1" t="s">
        <v>90</v>
      </c>
      <c r="P735" s="1" t="str">
        <f t="shared" si="11"/>
        <v>Low Value</v>
      </c>
    </row>
    <row r="736" spans="1:16" x14ac:dyDescent="0.35">
      <c r="A736" s="3" t="s">
        <v>1151</v>
      </c>
      <c r="B736" s="4">
        <v>45795</v>
      </c>
      <c r="C736" s="1" t="s">
        <v>555</v>
      </c>
      <c r="D736" s="1" t="s">
        <v>453</v>
      </c>
      <c r="E736" s="1" t="s">
        <v>75</v>
      </c>
      <c r="F736" s="1" t="s">
        <v>76</v>
      </c>
      <c r="G736" s="1" t="s">
        <v>182</v>
      </c>
      <c r="H736" s="1" t="s">
        <v>183</v>
      </c>
      <c r="I736" s="1" t="s">
        <v>20</v>
      </c>
      <c r="J736" s="1">
        <v>7</v>
      </c>
      <c r="K736" s="2">
        <v>1799</v>
      </c>
      <c r="L736" s="5">
        <v>10704.05</v>
      </c>
      <c r="M736" s="5">
        <v>1723.33</v>
      </c>
      <c r="N736" s="1" t="s">
        <v>113</v>
      </c>
      <c r="O736" s="1" t="s">
        <v>22</v>
      </c>
      <c r="P736" s="1" t="str">
        <f t="shared" si="11"/>
        <v>High Value</v>
      </c>
    </row>
    <row r="737" spans="1:16" x14ac:dyDescent="0.35">
      <c r="A737" s="3" t="s">
        <v>1152</v>
      </c>
      <c r="B737" s="4">
        <v>45832</v>
      </c>
      <c r="C737" s="1" t="s">
        <v>175</v>
      </c>
      <c r="D737" s="1" t="s">
        <v>176</v>
      </c>
      <c r="E737" s="1" t="s">
        <v>141</v>
      </c>
      <c r="F737" s="1" t="s">
        <v>69</v>
      </c>
      <c r="G737" s="1" t="s">
        <v>18</v>
      </c>
      <c r="H737" s="1" t="s">
        <v>19</v>
      </c>
      <c r="I737" s="1" t="s">
        <v>20</v>
      </c>
      <c r="J737" s="1">
        <v>8</v>
      </c>
      <c r="K737" s="2">
        <v>4199</v>
      </c>
      <c r="L737" s="5">
        <v>26873.599999999999</v>
      </c>
      <c r="M737" s="5">
        <v>7051.35</v>
      </c>
      <c r="N737" s="1" t="s">
        <v>89</v>
      </c>
      <c r="O737" s="1" t="s">
        <v>22</v>
      </c>
      <c r="P737" s="1" t="str">
        <f t="shared" si="11"/>
        <v>High Value</v>
      </c>
    </row>
    <row r="738" spans="1:16" x14ac:dyDescent="0.35">
      <c r="A738" s="3" t="s">
        <v>1153</v>
      </c>
      <c r="B738" s="4">
        <v>45698</v>
      </c>
      <c r="C738" s="1" t="s">
        <v>534</v>
      </c>
      <c r="D738" s="1" t="s">
        <v>528</v>
      </c>
      <c r="E738" s="1" t="s">
        <v>49</v>
      </c>
      <c r="F738" s="1" t="s">
        <v>49</v>
      </c>
      <c r="G738" s="1" t="s">
        <v>18</v>
      </c>
      <c r="H738" s="1" t="s">
        <v>19</v>
      </c>
      <c r="I738" s="1" t="s">
        <v>20</v>
      </c>
      <c r="J738" s="1">
        <v>3</v>
      </c>
      <c r="K738" s="2">
        <v>4399</v>
      </c>
      <c r="L738" s="5">
        <v>12537.15</v>
      </c>
      <c r="M738" s="5">
        <v>3825.57</v>
      </c>
      <c r="N738" s="1" t="s">
        <v>21</v>
      </c>
      <c r="O738" s="1" t="s">
        <v>22</v>
      </c>
      <c r="P738" s="1" t="str">
        <f t="shared" si="11"/>
        <v>High Value</v>
      </c>
    </row>
    <row r="739" spans="1:16" x14ac:dyDescent="0.35">
      <c r="A739" s="3" t="s">
        <v>1154</v>
      </c>
      <c r="B739" s="4">
        <v>45682</v>
      </c>
      <c r="C739" s="1" t="s">
        <v>83</v>
      </c>
      <c r="D739" s="1" t="s">
        <v>84</v>
      </c>
      <c r="E739" s="1" t="s">
        <v>34</v>
      </c>
      <c r="F739" s="1" t="s">
        <v>27</v>
      </c>
      <c r="G739" s="1" t="s">
        <v>177</v>
      </c>
      <c r="H739" s="1" t="s">
        <v>178</v>
      </c>
      <c r="I739" s="1" t="s">
        <v>20</v>
      </c>
      <c r="J739" s="1">
        <v>2</v>
      </c>
      <c r="K739" s="2">
        <v>2624</v>
      </c>
      <c r="L739" s="5">
        <v>4723.2</v>
      </c>
      <c r="M739" s="5">
        <v>995.95</v>
      </c>
      <c r="N739" s="1" t="s">
        <v>113</v>
      </c>
      <c r="O739" s="1" t="s">
        <v>22</v>
      </c>
      <c r="P739" s="1" t="str">
        <f t="shared" si="11"/>
        <v>Low Value</v>
      </c>
    </row>
    <row r="740" spans="1:16" x14ac:dyDescent="0.35">
      <c r="A740" s="3" t="s">
        <v>1155</v>
      </c>
      <c r="B740" s="4">
        <v>45787</v>
      </c>
      <c r="C740" s="1" t="s">
        <v>410</v>
      </c>
      <c r="D740" s="1" t="s">
        <v>192</v>
      </c>
      <c r="E740" s="1" t="s">
        <v>68</v>
      </c>
      <c r="F740" s="1" t="s">
        <v>69</v>
      </c>
      <c r="G740" s="1" t="s">
        <v>28</v>
      </c>
      <c r="H740" s="1" t="s">
        <v>29</v>
      </c>
      <c r="I740" s="1" t="s">
        <v>30</v>
      </c>
      <c r="J740" s="1">
        <v>2</v>
      </c>
      <c r="K740" s="2">
        <v>1679</v>
      </c>
      <c r="L740" s="5">
        <v>3358</v>
      </c>
      <c r="M740" s="5">
        <v>487.13</v>
      </c>
      <c r="N740" s="1" t="s">
        <v>113</v>
      </c>
      <c r="O740" s="1" t="s">
        <v>22</v>
      </c>
      <c r="P740" s="1" t="str">
        <f t="shared" si="11"/>
        <v>Low Value</v>
      </c>
    </row>
    <row r="741" spans="1:16" x14ac:dyDescent="0.35">
      <c r="A741" s="3" t="s">
        <v>1156</v>
      </c>
      <c r="B741" s="4">
        <v>45859</v>
      </c>
      <c r="C741" s="1" t="s">
        <v>139</v>
      </c>
      <c r="D741" s="1" t="s">
        <v>140</v>
      </c>
      <c r="E741" s="1" t="s">
        <v>34</v>
      </c>
      <c r="F741" s="1" t="s">
        <v>27</v>
      </c>
      <c r="G741" s="1" t="s">
        <v>87</v>
      </c>
      <c r="H741" s="1" t="s">
        <v>88</v>
      </c>
      <c r="I741" s="1" t="s">
        <v>52</v>
      </c>
      <c r="J741" s="1">
        <v>5</v>
      </c>
      <c r="K741" s="2">
        <v>6499</v>
      </c>
      <c r="L741" s="5">
        <v>27620.75</v>
      </c>
      <c r="M741" s="5">
        <v>7714.5</v>
      </c>
      <c r="N741" s="1" t="s">
        <v>113</v>
      </c>
      <c r="O741" s="1" t="s">
        <v>22</v>
      </c>
      <c r="P741" s="1" t="str">
        <f t="shared" si="11"/>
        <v>High Value</v>
      </c>
    </row>
    <row r="742" spans="1:16" x14ac:dyDescent="0.35">
      <c r="A742" s="3" t="s">
        <v>1157</v>
      </c>
      <c r="B742" s="4">
        <v>45832</v>
      </c>
      <c r="C742" s="1" t="s">
        <v>846</v>
      </c>
      <c r="D742" s="1" t="s">
        <v>135</v>
      </c>
      <c r="E742" s="1" t="s">
        <v>236</v>
      </c>
      <c r="F742" s="1" t="s">
        <v>86</v>
      </c>
      <c r="G742" s="1" t="s">
        <v>198</v>
      </c>
      <c r="H742" s="1" t="s">
        <v>199</v>
      </c>
      <c r="I742" s="1" t="s">
        <v>37</v>
      </c>
      <c r="J742" s="1">
        <v>2</v>
      </c>
      <c r="K742" s="2">
        <v>769</v>
      </c>
      <c r="L742" s="5">
        <v>1307.3</v>
      </c>
      <c r="M742" s="5">
        <v>231.46</v>
      </c>
      <c r="N742" s="1" t="s">
        <v>89</v>
      </c>
      <c r="O742" s="1" t="s">
        <v>22</v>
      </c>
      <c r="P742" s="1" t="str">
        <f t="shared" si="11"/>
        <v>Low Value</v>
      </c>
    </row>
    <row r="743" spans="1:16" x14ac:dyDescent="0.35">
      <c r="A743" s="3" t="s">
        <v>1158</v>
      </c>
      <c r="B743" s="4">
        <v>45660</v>
      </c>
      <c r="C743" s="1" t="s">
        <v>399</v>
      </c>
      <c r="D743" s="1" t="s">
        <v>400</v>
      </c>
      <c r="E743" s="1" t="s">
        <v>94</v>
      </c>
      <c r="F743" s="1" t="s">
        <v>27</v>
      </c>
      <c r="G743" s="1" t="s">
        <v>63</v>
      </c>
      <c r="H743" s="1" t="s">
        <v>64</v>
      </c>
      <c r="I743" s="1" t="s">
        <v>20</v>
      </c>
      <c r="J743" s="1">
        <v>3</v>
      </c>
      <c r="K743" s="2">
        <v>659</v>
      </c>
      <c r="L743" s="5">
        <v>1779.3</v>
      </c>
      <c r="M743" s="5">
        <v>393.64</v>
      </c>
      <c r="N743" s="1" t="s">
        <v>113</v>
      </c>
      <c r="O743" s="1" t="s">
        <v>90</v>
      </c>
      <c r="P743" s="1" t="str">
        <f t="shared" si="11"/>
        <v>Low Value</v>
      </c>
    </row>
    <row r="744" spans="1:16" x14ac:dyDescent="0.35">
      <c r="A744" s="3" t="s">
        <v>1159</v>
      </c>
      <c r="B744" s="4">
        <v>45966</v>
      </c>
      <c r="C744" s="1" t="s">
        <v>676</v>
      </c>
      <c r="D744" s="1" t="s">
        <v>677</v>
      </c>
      <c r="E744" s="1" t="s">
        <v>49</v>
      </c>
      <c r="F744" s="1" t="s">
        <v>49</v>
      </c>
      <c r="G744" s="1" t="s">
        <v>131</v>
      </c>
      <c r="H744" s="1" t="s">
        <v>132</v>
      </c>
      <c r="I744" s="1" t="s">
        <v>44</v>
      </c>
      <c r="J744" s="1">
        <v>6</v>
      </c>
      <c r="K744" s="2">
        <v>604</v>
      </c>
      <c r="L744" s="5">
        <v>2899.2</v>
      </c>
      <c r="M744" s="5">
        <v>962.22</v>
      </c>
      <c r="N744" s="1" t="s">
        <v>113</v>
      </c>
      <c r="O744" s="1" t="s">
        <v>136</v>
      </c>
      <c r="P744" s="1" t="str">
        <f t="shared" si="11"/>
        <v>Low Value</v>
      </c>
    </row>
    <row r="745" spans="1:16" x14ac:dyDescent="0.35">
      <c r="A745" s="3" t="s">
        <v>1160</v>
      </c>
      <c r="B745" s="4">
        <v>45722</v>
      </c>
      <c r="C745" s="1" t="s">
        <v>802</v>
      </c>
      <c r="D745" s="1" t="s">
        <v>195</v>
      </c>
      <c r="E745" s="1" t="s">
        <v>166</v>
      </c>
      <c r="F745" s="1" t="s">
        <v>27</v>
      </c>
      <c r="G745" s="1" t="s">
        <v>161</v>
      </c>
      <c r="H745" s="1" t="s">
        <v>162</v>
      </c>
      <c r="I745" s="1" t="s">
        <v>37</v>
      </c>
      <c r="J745" s="1">
        <v>2</v>
      </c>
      <c r="K745" s="2">
        <v>2069</v>
      </c>
      <c r="L745" s="5">
        <v>3310.4</v>
      </c>
      <c r="M745" s="5">
        <v>1104.07</v>
      </c>
      <c r="N745" s="1" t="s">
        <v>89</v>
      </c>
      <c r="O745" s="1" t="s">
        <v>22</v>
      </c>
      <c r="P745" s="1" t="str">
        <f t="shared" si="11"/>
        <v>Low Value</v>
      </c>
    </row>
    <row r="746" spans="1:16" x14ac:dyDescent="0.35">
      <c r="A746" s="3" t="s">
        <v>1161</v>
      </c>
      <c r="B746" s="4">
        <v>45732</v>
      </c>
      <c r="C746" s="1" t="s">
        <v>769</v>
      </c>
      <c r="D746" s="1" t="s">
        <v>100</v>
      </c>
      <c r="E746" s="1" t="s">
        <v>141</v>
      </c>
      <c r="F746" s="1" t="s">
        <v>69</v>
      </c>
      <c r="G746" s="1" t="s">
        <v>87</v>
      </c>
      <c r="H746" s="1" t="s">
        <v>88</v>
      </c>
      <c r="I746" s="1" t="s">
        <v>52</v>
      </c>
      <c r="J746" s="1">
        <v>4</v>
      </c>
      <c r="K746" s="2">
        <v>5849</v>
      </c>
      <c r="L746" s="5">
        <v>22226.2</v>
      </c>
      <c r="M746" s="5">
        <v>6430.9</v>
      </c>
      <c r="N746" s="1" t="s">
        <v>45</v>
      </c>
      <c r="O746" s="1" t="s">
        <v>22</v>
      </c>
      <c r="P746" s="1" t="str">
        <f t="shared" si="11"/>
        <v>High Value</v>
      </c>
    </row>
    <row r="747" spans="1:16" x14ac:dyDescent="0.35">
      <c r="A747" s="3" t="s">
        <v>1162</v>
      </c>
      <c r="B747" s="4">
        <v>45717</v>
      </c>
      <c r="C747" s="1" t="s">
        <v>170</v>
      </c>
      <c r="D747" s="1" t="s">
        <v>171</v>
      </c>
      <c r="E747" s="1" t="s">
        <v>85</v>
      </c>
      <c r="F747" s="1" t="s">
        <v>86</v>
      </c>
      <c r="G747" s="1" t="s">
        <v>50</v>
      </c>
      <c r="H747" s="1" t="s">
        <v>51</v>
      </c>
      <c r="I747" s="1" t="s">
        <v>52</v>
      </c>
      <c r="J747" s="1">
        <v>8</v>
      </c>
      <c r="K747" s="2">
        <v>7999</v>
      </c>
      <c r="L747" s="5">
        <v>63992</v>
      </c>
      <c r="M747" s="5">
        <v>19783.46</v>
      </c>
      <c r="N747" s="1" t="s">
        <v>21</v>
      </c>
      <c r="O747" s="1" t="s">
        <v>22</v>
      </c>
      <c r="P747" s="1" t="str">
        <f t="shared" si="11"/>
        <v>High Value</v>
      </c>
    </row>
    <row r="748" spans="1:16" x14ac:dyDescent="0.35">
      <c r="A748" s="3" t="s">
        <v>1163</v>
      </c>
      <c r="B748" s="4">
        <v>45949</v>
      </c>
      <c r="C748" s="1" t="s">
        <v>932</v>
      </c>
      <c r="D748" s="1" t="s">
        <v>933</v>
      </c>
      <c r="E748" s="1" t="s">
        <v>26</v>
      </c>
      <c r="F748" s="1" t="s">
        <v>27</v>
      </c>
      <c r="G748" s="1" t="s">
        <v>42</v>
      </c>
      <c r="H748" s="1" t="s">
        <v>43</v>
      </c>
      <c r="I748" s="1" t="s">
        <v>44</v>
      </c>
      <c r="J748" s="1">
        <v>1</v>
      </c>
      <c r="K748" s="2">
        <v>809</v>
      </c>
      <c r="L748" s="5">
        <v>647.20000000000005</v>
      </c>
      <c r="M748" s="5">
        <v>198.35</v>
      </c>
      <c r="N748" s="1" t="s">
        <v>113</v>
      </c>
      <c r="O748" s="1" t="s">
        <v>53</v>
      </c>
      <c r="P748" s="1" t="str">
        <f t="shared" si="11"/>
        <v>Low Value</v>
      </c>
    </row>
    <row r="749" spans="1:16" x14ac:dyDescent="0.35">
      <c r="A749" s="3" t="s">
        <v>1164</v>
      </c>
      <c r="B749" s="4">
        <v>45954</v>
      </c>
      <c r="C749" s="1" t="s">
        <v>32</v>
      </c>
      <c r="D749" s="1" t="s">
        <v>33</v>
      </c>
      <c r="E749" s="1" t="s">
        <v>80</v>
      </c>
      <c r="F749" s="1" t="s">
        <v>81</v>
      </c>
      <c r="G749" s="1" t="s">
        <v>70</v>
      </c>
      <c r="H749" s="1" t="s">
        <v>71</v>
      </c>
      <c r="I749" s="1" t="s">
        <v>44</v>
      </c>
      <c r="J749" s="1">
        <v>1</v>
      </c>
      <c r="K749" s="2">
        <v>3299</v>
      </c>
      <c r="L749" s="5">
        <v>2969.1</v>
      </c>
      <c r="M749" s="5">
        <v>673.81</v>
      </c>
      <c r="N749" s="1" t="s">
        <v>21</v>
      </c>
      <c r="O749" s="1" t="s">
        <v>22</v>
      </c>
      <c r="P749" s="1" t="str">
        <f t="shared" si="11"/>
        <v>Low Value</v>
      </c>
    </row>
    <row r="750" spans="1:16" x14ac:dyDescent="0.35">
      <c r="A750" s="3" t="s">
        <v>1165</v>
      </c>
      <c r="B750" s="4">
        <v>45907</v>
      </c>
      <c r="C750" s="1" t="s">
        <v>392</v>
      </c>
      <c r="D750" s="1" t="s">
        <v>393</v>
      </c>
      <c r="E750" s="1" t="s">
        <v>26</v>
      </c>
      <c r="F750" s="1" t="s">
        <v>27</v>
      </c>
      <c r="G750" s="1" t="s">
        <v>213</v>
      </c>
      <c r="H750" s="1" t="s">
        <v>214</v>
      </c>
      <c r="I750" s="1" t="s">
        <v>107</v>
      </c>
      <c r="J750" s="1">
        <v>1</v>
      </c>
      <c r="K750" s="2">
        <v>1899</v>
      </c>
      <c r="L750" s="5">
        <v>1614.15</v>
      </c>
      <c r="M750" s="5">
        <v>305.86</v>
      </c>
      <c r="N750" s="1" t="s">
        <v>89</v>
      </c>
      <c r="O750" s="1" t="s">
        <v>22</v>
      </c>
      <c r="P750" s="1" t="str">
        <f t="shared" si="11"/>
        <v>Low Value</v>
      </c>
    </row>
    <row r="751" spans="1:16" x14ac:dyDescent="0.35">
      <c r="A751" s="3" t="s">
        <v>1166</v>
      </c>
      <c r="B751" s="4">
        <v>45871</v>
      </c>
      <c r="C751" s="1" t="s">
        <v>210</v>
      </c>
      <c r="D751" s="1" t="s">
        <v>211</v>
      </c>
      <c r="E751" s="1" t="s">
        <v>94</v>
      </c>
      <c r="F751" s="1" t="s">
        <v>27</v>
      </c>
      <c r="G751" s="1" t="s">
        <v>105</v>
      </c>
      <c r="H751" s="1" t="s">
        <v>106</v>
      </c>
      <c r="I751" s="1" t="s">
        <v>107</v>
      </c>
      <c r="J751" s="1">
        <v>6</v>
      </c>
      <c r="K751" s="2">
        <v>999</v>
      </c>
      <c r="L751" s="5">
        <v>4795.2</v>
      </c>
      <c r="M751" s="5">
        <v>1035.6199999999999</v>
      </c>
      <c r="N751" s="1" t="s">
        <v>45</v>
      </c>
      <c r="O751" s="1" t="s">
        <v>22</v>
      </c>
      <c r="P751" s="1" t="str">
        <f t="shared" si="11"/>
        <v>Low Value</v>
      </c>
    </row>
    <row r="752" spans="1:16" x14ac:dyDescent="0.35">
      <c r="A752" s="3" t="s">
        <v>1167</v>
      </c>
      <c r="B752" s="4">
        <v>45898</v>
      </c>
      <c r="C752" s="1" t="s">
        <v>480</v>
      </c>
      <c r="D752" s="1" t="s">
        <v>481</v>
      </c>
      <c r="E752" s="1" t="s">
        <v>172</v>
      </c>
      <c r="F752" s="1" t="s">
        <v>173</v>
      </c>
      <c r="G752" s="1" t="s">
        <v>35</v>
      </c>
      <c r="H752" s="1" t="s">
        <v>36</v>
      </c>
      <c r="I752" s="1" t="s">
        <v>37</v>
      </c>
      <c r="J752" s="1">
        <v>4</v>
      </c>
      <c r="K752" s="2">
        <v>1364</v>
      </c>
      <c r="L752" s="5">
        <v>4364.8</v>
      </c>
      <c r="M752" s="5">
        <v>849.45</v>
      </c>
      <c r="N752" s="1" t="s">
        <v>21</v>
      </c>
      <c r="O752" s="1" t="s">
        <v>136</v>
      </c>
      <c r="P752" s="1" t="str">
        <f t="shared" si="11"/>
        <v>Low Value</v>
      </c>
    </row>
    <row r="753" spans="1:16" x14ac:dyDescent="0.35">
      <c r="A753" s="3" t="s">
        <v>1168</v>
      </c>
      <c r="B753" s="4">
        <v>45994</v>
      </c>
      <c r="C753" s="1" t="s">
        <v>452</v>
      </c>
      <c r="D753" s="1" t="s">
        <v>453</v>
      </c>
      <c r="E753" s="1" t="s">
        <v>85</v>
      </c>
      <c r="F753" s="1" t="s">
        <v>86</v>
      </c>
      <c r="G753" s="1" t="s">
        <v>70</v>
      </c>
      <c r="H753" s="1" t="s">
        <v>71</v>
      </c>
      <c r="I753" s="1" t="s">
        <v>44</v>
      </c>
      <c r="J753" s="1">
        <v>7</v>
      </c>
      <c r="K753" s="2">
        <v>3299</v>
      </c>
      <c r="L753" s="5">
        <v>18474.400000000001</v>
      </c>
      <c r="M753" s="5">
        <v>4868.93</v>
      </c>
      <c r="N753" s="1" t="s">
        <v>59</v>
      </c>
      <c r="O753" s="1" t="s">
        <v>136</v>
      </c>
      <c r="P753" s="1" t="str">
        <f t="shared" si="11"/>
        <v>High Value</v>
      </c>
    </row>
    <row r="754" spans="1:16" x14ac:dyDescent="0.35">
      <c r="A754" s="3" t="s">
        <v>1169</v>
      </c>
      <c r="B754" s="4">
        <v>45976</v>
      </c>
      <c r="C754" s="1" t="s">
        <v>596</v>
      </c>
      <c r="D754" s="1" t="s">
        <v>597</v>
      </c>
      <c r="E754" s="1" t="s">
        <v>49</v>
      </c>
      <c r="F754" s="1" t="s">
        <v>49</v>
      </c>
      <c r="G754" s="1" t="s">
        <v>182</v>
      </c>
      <c r="H754" s="1" t="s">
        <v>183</v>
      </c>
      <c r="I754" s="1" t="s">
        <v>20</v>
      </c>
      <c r="J754" s="1">
        <v>8</v>
      </c>
      <c r="K754" s="2">
        <v>1799</v>
      </c>
      <c r="L754" s="5">
        <v>14392</v>
      </c>
      <c r="M754" s="5">
        <v>2358.65</v>
      </c>
      <c r="N754" s="1" t="s">
        <v>21</v>
      </c>
      <c r="O754" s="1" t="s">
        <v>22</v>
      </c>
      <c r="P754" s="1" t="str">
        <f t="shared" si="11"/>
        <v>High Value</v>
      </c>
    </row>
    <row r="755" spans="1:16" x14ac:dyDescent="0.35">
      <c r="A755" s="3" t="s">
        <v>1170</v>
      </c>
      <c r="B755" s="4">
        <v>45910</v>
      </c>
      <c r="C755" s="1" t="s">
        <v>61</v>
      </c>
      <c r="D755" s="1" t="s">
        <v>62</v>
      </c>
      <c r="E755" s="1" t="s">
        <v>141</v>
      </c>
      <c r="F755" s="1" t="s">
        <v>69</v>
      </c>
      <c r="G755" s="1" t="s">
        <v>161</v>
      </c>
      <c r="H755" s="1" t="s">
        <v>162</v>
      </c>
      <c r="I755" s="1" t="s">
        <v>37</v>
      </c>
      <c r="J755" s="1">
        <v>1</v>
      </c>
      <c r="K755" s="2">
        <v>2069</v>
      </c>
      <c r="L755" s="5">
        <v>1965.55</v>
      </c>
      <c r="M755" s="5">
        <v>616.79</v>
      </c>
      <c r="N755" s="1" t="s">
        <v>59</v>
      </c>
      <c r="O755" s="1" t="s">
        <v>22</v>
      </c>
      <c r="P755" s="1" t="str">
        <f t="shared" si="11"/>
        <v>Low Value</v>
      </c>
    </row>
    <row r="756" spans="1:16" x14ac:dyDescent="0.35">
      <c r="A756" s="3" t="s">
        <v>1171</v>
      </c>
      <c r="B756" s="4">
        <v>45915</v>
      </c>
      <c r="C756" s="1" t="s">
        <v>518</v>
      </c>
      <c r="D756" s="1" t="s">
        <v>519</v>
      </c>
      <c r="E756" s="1" t="s">
        <v>34</v>
      </c>
      <c r="F756" s="1" t="s">
        <v>27</v>
      </c>
      <c r="G756" s="1" t="s">
        <v>42</v>
      </c>
      <c r="H756" s="1" t="s">
        <v>43</v>
      </c>
      <c r="I756" s="1" t="s">
        <v>44</v>
      </c>
      <c r="J756" s="1">
        <v>7</v>
      </c>
      <c r="K756" s="2">
        <v>809</v>
      </c>
      <c r="L756" s="5">
        <v>4813.55</v>
      </c>
      <c r="M756" s="5">
        <v>817.69</v>
      </c>
      <c r="N756" s="1" t="s">
        <v>21</v>
      </c>
      <c r="O756" s="1" t="s">
        <v>22</v>
      </c>
      <c r="P756" s="1" t="str">
        <f t="shared" si="11"/>
        <v>Low Value</v>
      </c>
    </row>
    <row r="757" spans="1:16" x14ac:dyDescent="0.35">
      <c r="A757" s="3" t="s">
        <v>1172</v>
      </c>
      <c r="B757" s="4">
        <v>45832</v>
      </c>
      <c r="C757" s="1" t="s">
        <v>410</v>
      </c>
      <c r="D757" s="1" t="s">
        <v>192</v>
      </c>
      <c r="E757" s="1" t="s">
        <v>26</v>
      </c>
      <c r="F757" s="1" t="s">
        <v>27</v>
      </c>
      <c r="G757" s="1" t="s">
        <v>254</v>
      </c>
      <c r="H757" s="1" t="s">
        <v>255</v>
      </c>
      <c r="I757" s="1" t="s">
        <v>30</v>
      </c>
      <c r="J757" s="1">
        <v>5</v>
      </c>
      <c r="K757" s="2">
        <v>799</v>
      </c>
      <c r="L757" s="5">
        <v>3196</v>
      </c>
      <c r="M757" s="5">
        <v>997.83</v>
      </c>
      <c r="N757" s="1" t="s">
        <v>21</v>
      </c>
      <c r="O757" s="1" t="s">
        <v>22</v>
      </c>
      <c r="P757" s="1" t="str">
        <f t="shared" si="11"/>
        <v>Low Value</v>
      </c>
    </row>
    <row r="758" spans="1:16" x14ac:dyDescent="0.35">
      <c r="A758" s="3" t="s">
        <v>1173</v>
      </c>
      <c r="B758" s="4">
        <v>45683</v>
      </c>
      <c r="C758" s="1" t="s">
        <v>156</v>
      </c>
      <c r="D758" s="1" t="s">
        <v>157</v>
      </c>
      <c r="E758" s="1" t="s">
        <v>172</v>
      </c>
      <c r="F758" s="1" t="s">
        <v>173</v>
      </c>
      <c r="G758" s="1" t="s">
        <v>120</v>
      </c>
      <c r="H758" s="1" t="s">
        <v>121</v>
      </c>
      <c r="I758" s="1" t="s">
        <v>20</v>
      </c>
      <c r="J758" s="1">
        <v>2</v>
      </c>
      <c r="K758" s="2">
        <v>1574</v>
      </c>
      <c r="L758" s="5">
        <v>2675.8</v>
      </c>
      <c r="M758" s="5">
        <v>781.53</v>
      </c>
      <c r="N758" s="1" t="s">
        <v>89</v>
      </c>
      <c r="O758" s="1" t="s">
        <v>136</v>
      </c>
      <c r="P758" s="1" t="str">
        <f t="shared" si="11"/>
        <v>Low Value</v>
      </c>
    </row>
    <row r="759" spans="1:16" x14ac:dyDescent="0.35">
      <c r="A759" s="3" t="s">
        <v>1174</v>
      </c>
      <c r="B759" s="4">
        <v>45917</v>
      </c>
      <c r="C759" s="1" t="s">
        <v>194</v>
      </c>
      <c r="D759" s="1" t="s">
        <v>195</v>
      </c>
      <c r="E759" s="1" t="s">
        <v>101</v>
      </c>
      <c r="F759" s="1" t="s">
        <v>86</v>
      </c>
      <c r="G759" s="1" t="s">
        <v>120</v>
      </c>
      <c r="H759" s="1" t="s">
        <v>121</v>
      </c>
      <c r="I759" s="1" t="s">
        <v>20</v>
      </c>
      <c r="J759" s="1">
        <v>4</v>
      </c>
      <c r="K759" s="2">
        <v>1499</v>
      </c>
      <c r="L759" s="5">
        <v>5996</v>
      </c>
      <c r="M759" s="5">
        <v>1680.3</v>
      </c>
      <c r="N759" s="1" t="s">
        <v>113</v>
      </c>
      <c r="O759" s="1" t="s">
        <v>136</v>
      </c>
      <c r="P759" s="1" t="str">
        <f t="shared" si="11"/>
        <v>Medium Value</v>
      </c>
    </row>
    <row r="760" spans="1:16" x14ac:dyDescent="0.35">
      <c r="A760" s="3" t="s">
        <v>1175</v>
      </c>
      <c r="B760" s="4">
        <v>45708</v>
      </c>
      <c r="C760" s="1" t="s">
        <v>66</v>
      </c>
      <c r="D760" s="1" t="s">
        <v>67</v>
      </c>
      <c r="E760" s="1" t="s">
        <v>312</v>
      </c>
      <c r="F760" s="1" t="s">
        <v>112</v>
      </c>
      <c r="G760" s="1" t="s">
        <v>42</v>
      </c>
      <c r="H760" s="1" t="s">
        <v>43</v>
      </c>
      <c r="I760" s="1" t="s">
        <v>44</v>
      </c>
      <c r="J760" s="1">
        <v>3</v>
      </c>
      <c r="K760" s="2">
        <v>809</v>
      </c>
      <c r="L760" s="5">
        <v>2427</v>
      </c>
      <c r="M760" s="5">
        <v>525.70000000000005</v>
      </c>
      <c r="N760" s="1" t="s">
        <v>113</v>
      </c>
      <c r="O760" s="1" t="s">
        <v>136</v>
      </c>
      <c r="P760" s="1" t="str">
        <f t="shared" si="11"/>
        <v>Low Value</v>
      </c>
    </row>
    <row r="761" spans="1:16" x14ac:dyDescent="0.35">
      <c r="A761" s="3" t="s">
        <v>1176</v>
      </c>
      <c r="B761" s="4">
        <v>45783</v>
      </c>
      <c r="C761" s="1" t="s">
        <v>210</v>
      </c>
      <c r="D761" s="1" t="s">
        <v>211</v>
      </c>
      <c r="E761" s="1" t="s">
        <v>111</v>
      </c>
      <c r="F761" s="1" t="s">
        <v>112</v>
      </c>
      <c r="G761" s="1" t="s">
        <v>70</v>
      </c>
      <c r="H761" s="1" t="s">
        <v>71</v>
      </c>
      <c r="I761" s="1" t="s">
        <v>44</v>
      </c>
      <c r="J761" s="1">
        <v>3</v>
      </c>
      <c r="K761" s="2">
        <v>2969</v>
      </c>
      <c r="L761" s="5">
        <v>8461.65</v>
      </c>
      <c r="M761" s="5">
        <v>1708.71</v>
      </c>
      <c r="N761" s="1" t="s">
        <v>113</v>
      </c>
      <c r="O761" s="1" t="s">
        <v>22</v>
      </c>
      <c r="P761" s="1" t="str">
        <f t="shared" si="11"/>
        <v>Medium Value</v>
      </c>
    </row>
    <row r="762" spans="1:16" x14ac:dyDescent="0.35">
      <c r="A762" s="3" t="s">
        <v>1177</v>
      </c>
      <c r="B762" s="4">
        <v>45783</v>
      </c>
      <c r="C762" s="1" t="s">
        <v>268</v>
      </c>
      <c r="D762" s="1" t="s">
        <v>269</v>
      </c>
      <c r="E762" s="1" t="s">
        <v>41</v>
      </c>
      <c r="F762" s="1" t="s">
        <v>17</v>
      </c>
      <c r="G762" s="1" t="s">
        <v>87</v>
      </c>
      <c r="H762" s="1" t="s">
        <v>88</v>
      </c>
      <c r="I762" s="1" t="s">
        <v>52</v>
      </c>
      <c r="J762" s="1">
        <v>4</v>
      </c>
      <c r="K762" s="2">
        <v>6499</v>
      </c>
      <c r="L762" s="5">
        <v>23396.400000000001</v>
      </c>
      <c r="M762" s="5">
        <v>4935.47</v>
      </c>
      <c r="N762" s="1" t="s">
        <v>113</v>
      </c>
      <c r="O762" s="1" t="s">
        <v>90</v>
      </c>
      <c r="P762" s="1" t="str">
        <f t="shared" si="11"/>
        <v>High Value</v>
      </c>
    </row>
    <row r="763" spans="1:16" x14ac:dyDescent="0.35">
      <c r="A763" s="3" t="s">
        <v>1178</v>
      </c>
      <c r="B763" s="4">
        <v>46007</v>
      </c>
      <c r="C763" s="1" t="s">
        <v>806</v>
      </c>
      <c r="D763" s="1" t="s">
        <v>807</v>
      </c>
      <c r="E763" s="1" t="s">
        <v>166</v>
      </c>
      <c r="F763" s="1" t="s">
        <v>27</v>
      </c>
      <c r="G763" s="1" t="s">
        <v>50</v>
      </c>
      <c r="H763" s="1" t="s">
        <v>51</v>
      </c>
      <c r="I763" s="1" t="s">
        <v>52</v>
      </c>
      <c r="J763" s="1">
        <v>3</v>
      </c>
      <c r="K763" s="2">
        <v>7199</v>
      </c>
      <c r="L763" s="5">
        <v>17277.599999999999</v>
      </c>
      <c r="M763" s="5">
        <v>5137.91</v>
      </c>
      <c r="N763" s="1" t="s">
        <v>89</v>
      </c>
      <c r="O763" s="1" t="s">
        <v>22</v>
      </c>
      <c r="P763" s="1" t="str">
        <f t="shared" si="11"/>
        <v>High Value</v>
      </c>
    </row>
    <row r="764" spans="1:16" x14ac:dyDescent="0.35">
      <c r="A764" s="3" t="s">
        <v>1179</v>
      </c>
      <c r="B764" s="4">
        <v>45863</v>
      </c>
      <c r="C764" s="1" t="s">
        <v>170</v>
      </c>
      <c r="D764" s="1" t="s">
        <v>171</v>
      </c>
      <c r="E764" s="1" t="s">
        <v>75</v>
      </c>
      <c r="F764" s="1" t="s">
        <v>76</v>
      </c>
      <c r="G764" s="1" t="s">
        <v>177</v>
      </c>
      <c r="H764" s="1" t="s">
        <v>178</v>
      </c>
      <c r="I764" s="1" t="s">
        <v>20</v>
      </c>
      <c r="J764" s="1">
        <v>7</v>
      </c>
      <c r="K764" s="2">
        <v>2249</v>
      </c>
      <c r="L764" s="5">
        <v>12594.4</v>
      </c>
      <c r="M764" s="5">
        <v>4067.41</v>
      </c>
      <c r="N764" s="1" t="s">
        <v>45</v>
      </c>
      <c r="O764" s="1" t="s">
        <v>90</v>
      </c>
      <c r="P764" s="1" t="str">
        <f t="shared" si="11"/>
        <v>High Value</v>
      </c>
    </row>
    <row r="765" spans="1:16" x14ac:dyDescent="0.35">
      <c r="A765" s="3" t="s">
        <v>1180</v>
      </c>
      <c r="B765" s="4">
        <v>45981</v>
      </c>
      <c r="C765" s="1" t="s">
        <v>14</v>
      </c>
      <c r="D765" s="1" t="s">
        <v>15</v>
      </c>
      <c r="E765" s="1" t="s">
        <v>41</v>
      </c>
      <c r="F765" s="1" t="s">
        <v>17</v>
      </c>
      <c r="G765" s="1" t="s">
        <v>70</v>
      </c>
      <c r="H765" s="1" t="s">
        <v>71</v>
      </c>
      <c r="I765" s="1" t="s">
        <v>44</v>
      </c>
      <c r="J765" s="1">
        <v>7</v>
      </c>
      <c r="K765" s="2">
        <v>3299</v>
      </c>
      <c r="L765" s="5">
        <v>18474.400000000001</v>
      </c>
      <c r="M765" s="5">
        <v>5065.2</v>
      </c>
      <c r="N765" s="1" t="s">
        <v>59</v>
      </c>
      <c r="O765" s="1" t="s">
        <v>22</v>
      </c>
      <c r="P765" s="1" t="str">
        <f t="shared" si="11"/>
        <v>High Value</v>
      </c>
    </row>
    <row r="766" spans="1:16" x14ac:dyDescent="0.35">
      <c r="A766" s="3" t="s">
        <v>1181</v>
      </c>
      <c r="B766" s="4">
        <v>45834</v>
      </c>
      <c r="C766" s="1" t="s">
        <v>501</v>
      </c>
      <c r="D766" s="1" t="s">
        <v>502</v>
      </c>
      <c r="E766" s="1" t="s">
        <v>68</v>
      </c>
      <c r="F766" s="1" t="s">
        <v>69</v>
      </c>
      <c r="G766" s="1" t="s">
        <v>213</v>
      </c>
      <c r="H766" s="1" t="s">
        <v>214</v>
      </c>
      <c r="I766" s="1" t="s">
        <v>107</v>
      </c>
      <c r="J766" s="1">
        <v>3</v>
      </c>
      <c r="K766" s="2">
        <v>2089</v>
      </c>
      <c r="L766" s="5">
        <v>5640.3</v>
      </c>
      <c r="M766" s="5">
        <v>1230.5</v>
      </c>
      <c r="N766" s="1" t="s">
        <v>45</v>
      </c>
      <c r="O766" s="1" t="s">
        <v>90</v>
      </c>
      <c r="P766" s="1" t="str">
        <f t="shared" si="11"/>
        <v>Medium Value</v>
      </c>
    </row>
    <row r="767" spans="1:16" x14ac:dyDescent="0.35">
      <c r="A767" s="3" t="s">
        <v>1182</v>
      </c>
      <c r="B767" s="4">
        <v>45974</v>
      </c>
      <c r="C767" s="1" t="s">
        <v>769</v>
      </c>
      <c r="D767" s="1" t="s">
        <v>100</v>
      </c>
      <c r="E767" s="1" t="s">
        <v>172</v>
      </c>
      <c r="F767" s="1" t="s">
        <v>173</v>
      </c>
      <c r="G767" s="1" t="s">
        <v>95</v>
      </c>
      <c r="H767" s="1" t="s">
        <v>96</v>
      </c>
      <c r="I767" s="1" t="s">
        <v>97</v>
      </c>
      <c r="J767" s="1">
        <v>7</v>
      </c>
      <c r="K767" s="2">
        <v>249</v>
      </c>
      <c r="L767" s="5">
        <v>1655.85</v>
      </c>
      <c r="M767" s="5">
        <v>229.4</v>
      </c>
      <c r="N767" s="1" t="s">
        <v>21</v>
      </c>
      <c r="O767" s="1" t="s">
        <v>22</v>
      </c>
      <c r="P767" s="1" t="str">
        <f t="shared" si="11"/>
        <v>Low Value</v>
      </c>
    </row>
    <row r="768" spans="1:16" x14ac:dyDescent="0.35">
      <c r="A768" s="3" t="s">
        <v>1183</v>
      </c>
      <c r="B768" s="4">
        <v>45722</v>
      </c>
      <c r="C768" s="1" t="s">
        <v>861</v>
      </c>
      <c r="D768" s="1" t="s">
        <v>862</v>
      </c>
      <c r="E768" s="1" t="s">
        <v>80</v>
      </c>
      <c r="F768" s="1" t="s">
        <v>81</v>
      </c>
      <c r="G768" s="1" t="s">
        <v>70</v>
      </c>
      <c r="H768" s="1" t="s">
        <v>71</v>
      </c>
      <c r="I768" s="1" t="s">
        <v>44</v>
      </c>
      <c r="J768" s="1">
        <v>4</v>
      </c>
      <c r="K768" s="2">
        <v>2969</v>
      </c>
      <c r="L768" s="5">
        <v>10094.6</v>
      </c>
      <c r="M768" s="5">
        <v>2436.7600000000002</v>
      </c>
      <c r="N768" s="1" t="s">
        <v>21</v>
      </c>
      <c r="O768" s="1" t="s">
        <v>22</v>
      </c>
      <c r="P768" s="1" t="str">
        <f t="shared" si="11"/>
        <v>High Value</v>
      </c>
    </row>
    <row r="769" spans="1:16" x14ac:dyDescent="0.35">
      <c r="A769" s="3" t="s">
        <v>1184</v>
      </c>
      <c r="B769" s="4">
        <v>45739</v>
      </c>
      <c r="C769" s="1" t="s">
        <v>853</v>
      </c>
      <c r="D769" s="1" t="s">
        <v>854</v>
      </c>
      <c r="E769" s="1" t="s">
        <v>166</v>
      </c>
      <c r="F769" s="1" t="s">
        <v>27</v>
      </c>
      <c r="G769" s="1" t="s">
        <v>254</v>
      </c>
      <c r="H769" s="1" t="s">
        <v>255</v>
      </c>
      <c r="I769" s="1" t="s">
        <v>30</v>
      </c>
      <c r="J769" s="1">
        <v>5</v>
      </c>
      <c r="K769" s="2">
        <v>799</v>
      </c>
      <c r="L769" s="5">
        <v>3795.25</v>
      </c>
      <c r="M769" s="5">
        <v>1062.03</v>
      </c>
      <c r="N769" s="1" t="s">
        <v>21</v>
      </c>
      <c r="O769" s="1" t="s">
        <v>22</v>
      </c>
      <c r="P769" s="1" t="str">
        <f t="shared" si="11"/>
        <v>Low Value</v>
      </c>
    </row>
    <row r="770" spans="1:16" x14ac:dyDescent="0.35">
      <c r="A770" s="3" t="s">
        <v>1185</v>
      </c>
      <c r="B770" s="4">
        <v>45848</v>
      </c>
      <c r="C770" s="1" t="s">
        <v>721</v>
      </c>
      <c r="D770" s="1" t="s">
        <v>722</v>
      </c>
      <c r="E770" s="1" t="s">
        <v>41</v>
      </c>
      <c r="F770" s="1" t="s">
        <v>17</v>
      </c>
      <c r="G770" s="1" t="s">
        <v>95</v>
      </c>
      <c r="H770" s="1" t="s">
        <v>96</v>
      </c>
      <c r="I770" s="1" t="s">
        <v>97</v>
      </c>
      <c r="J770" s="1">
        <v>2</v>
      </c>
      <c r="K770" s="2">
        <v>224</v>
      </c>
      <c r="L770" s="5">
        <v>358.4</v>
      </c>
      <c r="M770" s="5">
        <v>117.23</v>
      </c>
      <c r="N770" s="1" t="s">
        <v>113</v>
      </c>
      <c r="O770" s="1" t="s">
        <v>22</v>
      </c>
      <c r="P770" s="1" t="str">
        <f t="shared" ref="P770:P800" si="12">IF(L770&gt;=10000,"High Value",IF(L770&gt;=5000,"Medium Value","Low Value"))</f>
        <v>Low Value</v>
      </c>
    </row>
    <row r="771" spans="1:16" x14ac:dyDescent="0.35">
      <c r="A771" s="3" t="s">
        <v>1186</v>
      </c>
      <c r="B771" s="4">
        <v>45660</v>
      </c>
      <c r="C771" s="1" t="s">
        <v>496</v>
      </c>
      <c r="D771" s="1" t="s">
        <v>366</v>
      </c>
      <c r="E771" s="1" t="s">
        <v>111</v>
      </c>
      <c r="F771" s="1" t="s">
        <v>112</v>
      </c>
      <c r="G771" s="1" t="s">
        <v>35</v>
      </c>
      <c r="H771" s="1" t="s">
        <v>36</v>
      </c>
      <c r="I771" s="1" t="s">
        <v>37</v>
      </c>
      <c r="J771" s="1">
        <v>4</v>
      </c>
      <c r="K771" s="2">
        <v>1299</v>
      </c>
      <c r="L771" s="5">
        <v>4936.2</v>
      </c>
      <c r="M771" s="5">
        <v>901.34</v>
      </c>
      <c r="N771" s="1" t="s">
        <v>21</v>
      </c>
      <c r="O771" s="1" t="s">
        <v>22</v>
      </c>
      <c r="P771" s="1" t="str">
        <f t="shared" si="12"/>
        <v>Low Value</v>
      </c>
    </row>
    <row r="772" spans="1:16" x14ac:dyDescent="0.35">
      <c r="A772" s="3" t="s">
        <v>1187</v>
      </c>
      <c r="B772" s="4">
        <v>45851</v>
      </c>
      <c r="C772" s="1" t="s">
        <v>861</v>
      </c>
      <c r="D772" s="1" t="s">
        <v>862</v>
      </c>
      <c r="E772" s="1" t="s">
        <v>141</v>
      </c>
      <c r="F772" s="1" t="s">
        <v>69</v>
      </c>
      <c r="G772" s="1" t="s">
        <v>120</v>
      </c>
      <c r="H772" s="1" t="s">
        <v>121</v>
      </c>
      <c r="I772" s="1" t="s">
        <v>20</v>
      </c>
      <c r="J772" s="1">
        <v>6</v>
      </c>
      <c r="K772" s="2">
        <v>1574</v>
      </c>
      <c r="L772" s="5">
        <v>8027.4</v>
      </c>
      <c r="M772" s="5">
        <v>1303.3499999999999</v>
      </c>
      <c r="N772" s="1" t="s">
        <v>59</v>
      </c>
      <c r="O772" s="1" t="s">
        <v>22</v>
      </c>
      <c r="P772" s="1" t="str">
        <f t="shared" si="12"/>
        <v>Medium Value</v>
      </c>
    </row>
    <row r="773" spans="1:16" x14ac:dyDescent="0.35">
      <c r="A773" s="3" t="s">
        <v>1188</v>
      </c>
      <c r="B773" s="4">
        <v>46022</v>
      </c>
      <c r="C773" s="1" t="s">
        <v>407</v>
      </c>
      <c r="D773" s="1" t="s">
        <v>15</v>
      </c>
      <c r="E773" s="1" t="s">
        <v>75</v>
      </c>
      <c r="F773" s="1" t="s">
        <v>76</v>
      </c>
      <c r="G773" s="1" t="s">
        <v>182</v>
      </c>
      <c r="H773" s="1" t="s">
        <v>183</v>
      </c>
      <c r="I773" s="1" t="s">
        <v>20</v>
      </c>
      <c r="J773" s="1">
        <v>2</v>
      </c>
      <c r="K773" s="2">
        <v>1619</v>
      </c>
      <c r="L773" s="5">
        <v>2914.2</v>
      </c>
      <c r="M773" s="5">
        <v>919.35</v>
      </c>
      <c r="N773" s="1" t="s">
        <v>113</v>
      </c>
      <c r="O773" s="1" t="s">
        <v>22</v>
      </c>
      <c r="P773" s="1" t="str">
        <f t="shared" si="12"/>
        <v>Low Value</v>
      </c>
    </row>
    <row r="774" spans="1:16" x14ac:dyDescent="0.35">
      <c r="A774" s="3" t="s">
        <v>1189</v>
      </c>
      <c r="B774" s="4">
        <v>45847</v>
      </c>
      <c r="C774" s="1" t="s">
        <v>129</v>
      </c>
      <c r="D774" s="1" t="s">
        <v>130</v>
      </c>
      <c r="E774" s="1" t="s">
        <v>41</v>
      </c>
      <c r="F774" s="1" t="s">
        <v>17</v>
      </c>
      <c r="G774" s="1" t="s">
        <v>262</v>
      </c>
      <c r="H774" s="1" t="s">
        <v>263</v>
      </c>
      <c r="I774" s="1" t="s">
        <v>97</v>
      </c>
      <c r="J774" s="1">
        <v>7</v>
      </c>
      <c r="K774" s="2">
        <v>149</v>
      </c>
      <c r="L774" s="5">
        <v>886.55</v>
      </c>
      <c r="M774" s="5">
        <v>203.68</v>
      </c>
      <c r="N774" s="1" t="s">
        <v>113</v>
      </c>
      <c r="O774" s="1" t="s">
        <v>53</v>
      </c>
      <c r="P774" s="1" t="str">
        <f t="shared" si="12"/>
        <v>Low Value</v>
      </c>
    </row>
    <row r="775" spans="1:16" x14ac:dyDescent="0.35">
      <c r="A775" s="3" t="s">
        <v>1190</v>
      </c>
      <c r="B775" s="4">
        <v>45908</v>
      </c>
      <c r="C775" s="1" t="s">
        <v>466</v>
      </c>
      <c r="D775" s="1" t="s">
        <v>467</v>
      </c>
      <c r="E775" s="1" t="s">
        <v>101</v>
      </c>
      <c r="F775" s="1" t="s">
        <v>86</v>
      </c>
      <c r="G775" s="1" t="s">
        <v>18</v>
      </c>
      <c r="H775" s="1" t="s">
        <v>19</v>
      </c>
      <c r="I775" s="1" t="s">
        <v>20</v>
      </c>
      <c r="J775" s="1">
        <v>3</v>
      </c>
      <c r="K775" s="2">
        <v>3999</v>
      </c>
      <c r="L775" s="5">
        <v>9597.6</v>
      </c>
      <c r="M775" s="5">
        <v>2118.16</v>
      </c>
      <c r="N775" s="1" t="s">
        <v>21</v>
      </c>
      <c r="O775" s="1" t="s">
        <v>90</v>
      </c>
      <c r="P775" s="1" t="str">
        <f t="shared" si="12"/>
        <v>Medium Value</v>
      </c>
    </row>
    <row r="776" spans="1:16" x14ac:dyDescent="0.35">
      <c r="A776" s="3" t="s">
        <v>1191</v>
      </c>
      <c r="B776" s="4">
        <v>46013</v>
      </c>
      <c r="C776" s="1" t="s">
        <v>55</v>
      </c>
      <c r="D776" s="1" t="s">
        <v>56</v>
      </c>
      <c r="E776" s="1" t="s">
        <v>172</v>
      </c>
      <c r="F776" s="1" t="s">
        <v>173</v>
      </c>
      <c r="G776" s="1" t="s">
        <v>105</v>
      </c>
      <c r="H776" s="1" t="s">
        <v>106</v>
      </c>
      <c r="I776" s="1" t="s">
        <v>107</v>
      </c>
      <c r="J776" s="1">
        <v>1</v>
      </c>
      <c r="K776" s="2">
        <v>1099</v>
      </c>
      <c r="L776" s="5">
        <v>1099</v>
      </c>
      <c r="M776" s="5">
        <v>360.14</v>
      </c>
      <c r="N776" s="1" t="s">
        <v>59</v>
      </c>
      <c r="O776" s="1" t="s">
        <v>90</v>
      </c>
      <c r="P776" s="1" t="str">
        <f t="shared" si="12"/>
        <v>Low Value</v>
      </c>
    </row>
    <row r="777" spans="1:16" x14ac:dyDescent="0.35">
      <c r="A777" s="3" t="s">
        <v>1192</v>
      </c>
      <c r="B777" s="4">
        <v>45966</v>
      </c>
      <c r="C777" s="1" t="s">
        <v>891</v>
      </c>
      <c r="D777" s="1" t="s">
        <v>160</v>
      </c>
      <c r="E777" s="1" t="s">
        <v>94</v>
      </c>
      <c r="F777" s="1" t="s">
        <v>27</v>
      </c>
      <c r="G777" s="1" t="s">
        <v>120</v>
      </c>
      <c r="H777" s="1" t="s">
        <v>121</v>
      </c>
      <c r="I777" s="1" t="s">
        <v>20</v>
      </c>
      <c r="J777" s="1">
        <v>6</v>
      </c>
      <c r="K777" s="2">
        <v>1574</v>
      </c>
      <c r="L777" s="5">
        <v>8971.7999999999993</v>
      </c>
      <c r="M777" s="5">
        <v>1156.1199999999999</v>
      </c>
      <c r="N777" s="1" t="s">
        <v>45</v>
      </c>
      <c r="O777" s="1" t="s">
        <v>22</v>
      </c>
      <c r="P777" s="1" t="str">
        <f t="shared" si="12"/>
        <v>Medium Value</v>
      </c>
    </row>
    <row r="778" spans="1:16" x14ac:dyDescent="0.35">
      <c r="A778" s="3" t="s">
        <v>1193</v>
      </c>
      <c r="B778" s="4">
        <v>45849</v>
      </c>
      <c r="C778" s="1" t="s">
        <v>61</v>
      </c>
      <c r="D778" s="1" t="s">
        <v>62</v>
      </c>
      <c r="E778" s="1" t="s">
        <v>49</v>
      </c>
      <c r="F778" s="1" t="s">
        <v>49</v>
      </c>
      <c r="G778" s="1" t="s">
        <v>105</v>
      </c>
      <c r="H778" s="1" t="s">
        <v>106</v>
      </c>
      <c r="I778" s="1" t="s">
        <v>107</v>
      </c>
      <c r="J778" s="1">
        <v>1</v>
      </c>
      <c r="K778" s="2">
        <v>999</v>
      </c>
      <c r="L778" s="5">
        <v>999</v>
      </c>
      <c r="M778" s="5">
        <v>292.14</v>
      </c>
      <c r="N778" s="1" t="s">
        <v>113</v>
      </c>
      <c r="O778" s="1" t="s">
        <v>22</v>
      </c>
      <c r="P778" s="1" t="str">
        <f t="shared" si="12"/>
        <v>Low Value</v>
      </c>
    </row>
    <row r="779" spans="1:16" x14ac:dyDescent="0.35">
      <c r="A779" s="3" t="s">
        <v>1194</v>
      </c>
      <c r="B779" s="4">
        <v>45803</v>
      </c>
      <c r="C779" s="1" t="s">
        <v>188</v>
      </c>
      <c r="D779" s="1" t="s">
        <v>189</v>
      </c>
      <c r="E779" s="1" t="s">
        <v>101</v>
      </c>
      <c r="F779" s="1" t="s">
        <v>86</v>
      </c>
      <c r="G779" s="1" t="s">
        <v>105</v>
      </c>
      <c r="H779" s="1" t="s">
        <v>106</v>
      </c>
      <c r="I779" s="1" t="s">
        <v>107</v>
      </c>
      <c r="J779" s="1">
        <v>1</v>
      </c>
      <c r="K779" s="2">
        <v>899</v>
      </c>
      <c r="L779" s="5">
        <v>764.15</v>
      </c>
      <c r="M779" s="5">
        <v>150.31</v>
      </c>
      <c r="N779" s="1" t="s">
        <v>89</v>
      </c>
      <c r="O779" s="1" t="s">
        <v>22</v>
      </c>
      <c r="P779" s="1" t="str">
        <f t="shared" si="12"/>
        <v>Low Value</v>
      </c>
    </row>
    <row r="780" spans="1:16" x14ac:dyDescent="0.35">
      <c r="A780" s="3" t="s">
        <v>1195</v>
      </c>
      <c r="B780" s="4">
        <v>45816</v>
      </c>
      <c r="C780" s="1" t="s">
        <v>555</v>
      </c>
      <c r="D780" s="1" t="s">
        <v>453</v>
      </c>
      <c r="E780" s="1" t="s">
        <v>172</v>
      </c>
      <c r="F780" s="1" t="s">
        <v>173</v>
      </c>
      <c r="G780" s="1" t="s">
        <v>42</v>
      </c>
      <c r="H780" s="1" t="s">
        <v>43</v>
      </c>
      <c r="I780" s="1" t="s">
        <v>44</v>
      </c>
      <c r="J780" s="1">
        <v>7</v>
      </c>
      <c r="K780" s="2">
        <v>899</v>
      </c>
      <c r="L780" s="5">
        <v>5034.3999999999996</v>
      </c>
      <c r="M780" s="5">
        <v>1527.49</v>
      </c>
      <c r="N780" s="1" t="s">
        <v>45</v>
      </c>
      <c r="O780" s="1" t="s">
        <v>136</v>
      </c>
      <c r="P780" s="1" t="str">
        <f t="shared" si="12"/>
        <v>Medium Value</v>
      </c>
    </row>
    <row r="781" spans="1:16" x14ac:dyDescent="0.35">
      <c r="A781" s="3" t="s">
        <v>1196</v>
      </c>
      <c r="B781" s="4">
        <v>45983</v>
      </c>
      <c r="C781" s="1" t="s">
        <v>473</v>
      </c>
      <c r="D781" s="1" t="s">
        <v>474</v>
      </c>
      <c r="E781" s="1" t="s">
        <v>172</v>
      </c>
      <c r="F781" s="1" t="s">
        <v>173</v>
      </c>
      <c r="G781" s="1" t="s">
        <v>50</v>
      </c>
      <c r="H781" s="1" t="s">
        <v>51</v>
      </c>
      <c r="I781" s="1" t="s">
        <v>52</v>
      </c>
      <c r="J781" s="1">
        <v>3</v>
      </c>
      <c r="K781" s="2">
        <v>8799</v>
      </c>
      <c r="L781" s="5">
        <v>25077.15</v>
      </c>
      <c r="M781" s="5">
        <v>3502.01</v>
      </c>
      <c r="N781" s="1" t="s">
        <v>21</v>
      </c>
      <c r="O781" s="1" t="s">
        <v>22</v>
      </c>
      <c r="P781" s="1" t="str">
        <f t="shared" si="12"/>
        <v>High Value</v>
      </c>
    </row>
    <row r="782" spans="1:16" x14ac:dyDescent="0.35">
      <c r="A782" s="3" t="s">
        <v>1197</v>
      </c>
      <c r="B782" s="4">
        <v>45856</v>
      </c>
      <c r="C782" s="1" t="s">
        <v>392</v>
      </c>
      <c r="D782" s="1" t="s">
        <v>393</v>
      </c>
      <c r="E782" s="1" t="s">
        <v>145</v>
      </c>
      <c r="F782" s="1" t="s">
        <v>0</v>
      </c>
      <c r="G782" s="1" t="s">
        <v>42</v>
      </c>
      <c r="H782" s="1" t="s">
        <v>43</v>
      </c>
      <c r="I782" s="1" t="s">
        <v>44</v>
      </c>
      <c r="J782" s="1">
        <v>1</v>
      </c>
      <c r="K782" s="2">
        <v>989</v>
      </c>
      <c r="L782" s="5">
        <v>890.1</v>
      </c>
      <c r="M782" s="5">
        <v>250.92</v>
      </c>
      <c r="N782" s="1" t="s">
        <v>89</v>
      </c>
      <c r="O782" s="1" t="s">
        <v>90</v>
      </c>
      <c r="P782" s="1" t="str">
        <f t="shared" si="12"/>
        <v>Low Value</v>
      </c>
    </row>
    <row r="783" spans="1:16" x14ac:dyDescent="0.35">
      <c r="A783" s="3" t="s">
        <v>1198</v>
      </c>
      <c r="B783" s="4">
        <v>45670</v>
      </c>
      <c r="C783" s="1" t="s">
        <v>492</v>
      </c>
      <c r="D783" s="1" t="s">
        <v>493</v>
      </c>
      <c r="E783" s="1" t="s">
        <v>49</v>
      </c>
      <c r="F783" s="1" t="s">
        <v>49</v>
      </c>
      <c r="G783" s="1" t="s">
        <v>254</v>
      </c>
      <c r="H783" s="1" t="s">
        <v>255</v>
      </c>
      <c r="I783" s="1" t="s">
        <v>30</v>
      </c>
      <c r="J783" s="1">
        <v>2</v>
      </c>
      <c r="K783" s="2">
        <v>879</v>
      </c>
      <c r="L783" s="5">
        <v>1494.3</v>
      </c>
      <c r="M783" s="5">
        <v>207.31</v>
      </c>
      <c r="N783" s="1" t="s">
        <v>21</v>
      </c>
      <c r="O783" s="1" t="s">
        <v>22</v>
      </c>
      <c r="P783" s="1" t="str">
        <f t="shared" si="12"/>
        <v>Low Value</v>
      </c>
    </row>
    <row r="784" spans="1:16" x14ac:dyDescent="0.35">
      <c r="A784" s="3" t="s">
        <v>1199</v>
      </c>
      <c r="B784" s="4">
        <v>45949</v>
      </c>
      <c r="C784" s="1" t="s">
        <v>861</v>
      </c>
      <c r="D784" s="1" t="s">
        <v>862</v>
      </c>
      <c r="E784" s="1" t="s">
        <v>236</v>
      </c>
      <c r="F784" s="1" t="s">
        <v>86</v>
      </c>
      <c r="G784" s="1" t="s">
        <v>105</v>
      </c>
      <c r="H784" s="1" t="s">
        <v>106</v>
      </c>
      <c r="I784" s="1" t="s">
        <v>107</v>
      </c>
      <c r="J784" s="1">
        <v>1</v>
      </c>
      <c r="K784" s="2">
        <v>899</v>
      </c>
      <c r="L784" s="5">
        <v>719.2</v>
      </c>
      <c r="M784" s="5">
        <v>234.43</v>
      </c>
      <c r="N784" s="1" t="s">
        <v>45</v>
      </c>
      <c r="O784" s="1" t="s">
        <v>53</v>
      </c>
      <c r="P784" s="1" t="str">
        <f t="shared" si="12"/>
        <v>Low Value</v>
      </c>
    </row>
    <row r="785" spans="1:16" x14ac:dyDescent="0.35">
      <c r="A785" s="3" t="s">
        <v>1200</v>
      </c>
      <c r="B785" s="4">
        <v>45763</v>
      </c>
      <c r="C785" s="1" t="s">
        <v>283</v>
      </c>
      <c r="D785" s="1" t="s">
        <v>284</v>
      </c>
      <c r="E785" s="1" t="s">
        <v>172</v>
      </c>
      <c r="F785" s="1" t="s">
        <v>173</v>
      </c>
      <c r="G785" s="1" t="s">
        <v>182</v>
      </c>
      <c r="H785" s="1" t="s">
        <v>183</v>
      </c>
      <c r="I785" s="1" t="s">
        <v>20</v>
      </c>
      <c r="J785" s="1">
        <v>6</v>
      </c>
      <c r="K785" s="2">
        <v>1799</v>
      </c>
      <c r="L785" s="5">
        <v>9174.9</v>
      </c>
      <c r="M785" s="5">
        <v>1191.79</v>
      </c>
      <c r="N785" s="1" t="s">
        <v>89</v>
      </c>
      <c r="O785" s="1" t="s">
        <v>22</v>
      </c>
      <c r="P785" s="1" t="str">
        <f t="shared" si="12"/>
        <v>Medium Value</v>
      </c>
    </row>
    <row r="786" spans="1:16" x14ac:dyDescent="0.35">
      <c r="A786" s="3" t="s">
        <v>1201</v>
      </c>
      <c r="B786" s="4">
        <v>45870</v>
      </c>
      <c r="C786" s="1" t="s">
        <v>99</v>
      </c>
      <c r="D786" s="1" t="s">
        <v>100</v>
      </c>
      <c r="E786" s="1" t="s">
        <v>41</v>
      </c>
      <c r="F786" s="1" t="s">
        <v>17</v>
      </c>
      <c r="G786" s="1" t="s">
        <v>42</v>
      </c>
      <c r="H786" s="1" t="s">
        <v>43</v>
      </c>
      <c r="I786" s="1" t="s">
        <v>44</v>
      </c>
      <c r="J786" s="1">
        <v>7</v>
      </c>
      <c r="K786" s="2">
        <v>899</v>
      </c>
      <c r="L786" s="5">
        <v>6293</v>
      </c>
      <c r="M786" s="5">
        <v>913.88</v>
      </c>
      <c r="N786" s="1" t="s">
        <v>89</v>
      </c>
      <c r="O786" s="1" t="s">
        <v>22</v>
      </c>
      <c r="P786" s="1" t="str">
        <f t="shared" si="12"/>
        <v>Medium Value</v>
      </c>
    </row>
    <row r="787" spans="1:16" x14ac:dyDescent="0.35">
      <c r="A787" s="3" t="s">
        <v>1202</v>
      </c>
      <c r="B787" s="4">
        <v>45731</v>
      </c>
      <c r="C787" s="1" t="s">
        <v>346</v>
      </c>
      <c r="D787" s="1" t="s">
        <v>347</v>
      </c>
      <c r="E787" s="1" t="s">
        <v>68</v>
      </c>
      <c r="F787" s="1" t="s">
        <v>69</v>
      </c>
      <c r="G787" s="1" t="s">
        <v>182</v>
      </c>
      <c r="H787" s="1" t="s">
        <v>183</v>
      </c>
      <c r="I787" s="1" t="s">
        <v>20</v>
      </c>
      <c r="J787" s="1">
        <v>3</v>
      </c>
      <c r="K787" s="2">
        <v>1799</v>
      </c>
      <c r="L787" s="5">
        <v>4857.3</v>
      </c>
      <c r="M787" s="5">
        <v>1308.04</v>
      </c>
      <c r="N787" s="1" t="s">
        <v>89</v>
      </c>
      <c r="O787" s="1" t="s">
        <v>22</v>
      </c>
      <c r="P787" s="1" t="str">
        <f t="shared" si="12"/>
        <v>Low Value</v>
      </c>
    </row>
    <row r="788" spans="1:16" x14ac:dyDescent="0.35">
      <c r="A788" s="3" t="s">
        <v>1203</v>
      </c>
      <c r="B788" s="4">
        <v>45750</v>
      </c>
      <c r="C788" s="1" t="s">
        <v>99</v>
      </c>
      <c r="D788" s="1" t="s">
        <v>100</v>
      </c>
      <c r="E788" s="1" t="s">
        <v>26</v>
      </c>
      <c r="F788" s="1" t="s">
        <v>27</v>
      </c>
      <c r="G788" s="1" t="s">
        <v>70</v>
      </c>
      <c r="H788" s="1" t="s">
        <v>71</v>
      </c>
      <c r="I788" s="1" t="s">
        <v>44</v>
      </c>
      <c r="J788" s="1">
        <v>7</v>
      </c>
      <c r="K788" s="2">
        <v>2969</v>
      </c>
      <c r="L788" s="5">
        <v>19743.849999999999</v>
      </c>
      <c r="M788" s="5">
        <v>2988.06</v>
      </c>
      <c r="N788" s="1" t="s">
        <v>59</v>
      </c>
      <c r="O788" s="1" t="s">
        <v>22</v>
      </c>
      <c r="P788" s="1" t="str">
        <f t="shared" si="12"/>
        <v>High Value</v>
      </c>
    </row>
    <row r="789" spans="1:16" x14ac:dyDescent="0.35">
      <c r="A789" s="3" t="s">
        <v>1204</v>
      </c>
      <c r="B789" s="4">
        <v>45684</v>
      </c>
      <c r="C789" s="1" t="s">
        <v>725</v>
      </c>
      <c r="D789" s="1" t="s">
        <v>224</v>
      </c>
      <c r="E789" s="1" t="s">
        <v>141</v>
      </c>
      <c r="F789" s="1" t="s">
        <v>69</v>
      </c>
      <c r="G789" s="1" t="s">
        <v>131</v>
      </c>
      <c r="H789" s="1" t="s">
        <v>132</v>
      </c>
      <c r="I789" s="1" t="s">
        <v>44</v>
      </c>
      <c r="J789" s="1">
        <v>4</v>
      </c>
      <c r="K789" s="2">
        <v>549</v>
      </c>
      <c r="L789" s="5">
        <v>1866.6</v>
      </c>
      <c r="M789" s="5">
        <v>532.96</v>
      </c>
      <c r="N789" s="1" t="s">
        <v>113</v>
      </c>
      <c r="O789" s="1" t="s">
        <v>53</v>
      </c>
      <c r="P789" s="1" t="str">
        <f t="shared" si="12"/>
        <v>Low Value</v>
      </c>
    </row>
    <row r="790" spans="1:16" x14ac:dyDescent="0.35">
      <c r="A790" s="3" t="s">
        <v>1205</v>
      </c>
      <c r="B790" s="4">
        <v>45689</v>
      </c>
      <c r="C790" s="1" t="s">
        <v>624</v>
      </c>
      <c r="D790" s="1" t="s">
        <v>625</v>
      </c>
      <c r="E790" s="1" t="s">
        <v>172</v>
      </c>
      <c r="F790" s="1" t="s">
        <v>173</v>
      </c>
      <c r="G790" s="1" t="s">
        <v>254</v>
      </c>
      <c r="H790" s="1" t="s">
        <v>255</v>
      </c>
      <c r="I790" s="1" t="s">
        <v>30</v>
      </c>
      <c r="J790" s="1">
        <v>7</v>
      </c>
      <c r="K790" s="2">
        <v>719</v>
      </c>
      <c r="L790" s="5">
        <v>4529.7</v>
      </c>
      <c r="M790" s="5">
        <v>572.37</v>
      </c>
      <c r="N790" s="1" t="s">
        <v>45</v>
      </c>
      <c r="O790" s="1" t="s">
        <v>90</v>
      </c>
      <c r="P790" s="1" t="str">
        <f t="shared" si="12"/>
        <v>Low Value</v>
      </c>
    </row>
    <row r="791" spans="1:16" x14ac:dyDescent="0.35">
      <c r="A791" s="3" t="s">
        <v>1206</v>
      </c>
      <c r="B791" s="4">
        <v>45795</v>
      </c>
      <c r="C791" s="1" t="s">
        <v>83</v>
      </c>
      <c r="D791" s="1" t="s">
        <v>84</v>
      </c>
      <c r="E791" s="1" t="s">
        <v>94</v>
      </c>
      <c r="F791" s="1" t="s">
        <v>27</v>
      </c>
      <c r="G791" s="1" t="s">
        <v>35</v>
      </c>
      <c r="H791" s="1" t="s">
        <v>36</v>
      </c>
      <c r="I791" s="1" t="s">
        <v>37</v>
      </c>
      <c r="J791" s="1">
        <v>3</v>
      </c>
      <c r="K791" s="2">
        <v>1299</v>
      </c>
      <c r="L791" s="5">
        <v>3312.45</v>
      </c>
      <c r="M791" s="5">
        <v>693.91</v>
      </c>
      <c r="N791" s="1" t="s">
        <v>89</v>
      </c>
      <c r="O791" s="1" t="s">
        <v>136</v>
      </c>
      <c r="P791" s="1" t="str">
        <f t="shared" si="12"/>
        <v>Low Value</v>
      </c>
    </row>
    <row r="792" spans="1:16" x14ac:dyDescent="0.35">
      <c r="A792" s="3" t="s">
        <v>1217</v>
      </c>
      <c r="B792" s="4">
        <v>45895</v>
      </c>
      <c r="C792" s="1" t="s">
        <v>359</v>
      </c>
      <c r="D792" s="1" t="s">
        <v>360</v>
      </c>
      <c r="E792" s="1" t="s">
        <v>49</v>
      </c>
      <c r="F792" s="1" t="s">
        <v>49</v>
      </c>
      <c r="G792" s="1" t="s">
        <v>198</v>
      </c>
      <c r="H792" s="1" t="s">
        <v>199</v>
      </c>
      <c r="I792" s="1" t="s">
        <v>37</v>
      </c>
      <c r="J792" s="1">
        <v>1</v>
      </c>
      <c r="K792" s="2">
        <v>629</v>
      </c>
      <c r="L792" s="5">
        <v>566.1</v>
      </c>
      <c r="M792" s="5">
        <v>101.97</v>
      </c>
      <c r="N792" s="1" t="s">
        <v>59</v>
      </c>
      <c r="O792" s="1" t="s">
        <v>136</v>
      </c>
      <c r="P792" s="1" t="str">
        <f t="shared" si="12"/>
        <v>Low Value</v>
      </c>
    </row>
    <row r="793" spans="1:16" x14ac:dyDescent="0.35">
      <c r="A793" s="3" t="s">
        <v>1207</v>
      </c>
      <c r="B793" s="4">
        <v>45837</v>
      </c>
      <c r="C793" s="1" t="s">
        <v>727</v>
      </c>
      <c r="D793" s="1" t="s">
        <v>728</v>
      </c>
      <c r="E793" s="1" t="s">
        <v>236</v>
      </c>
      <c r="F793" s="1" t="s">
        <v>86</v>
      </c>
      <c r="G793" s="1" t="s">
        <v>28</v>
      </c>
      <c r="H793" s="1" t="s">
        <v>29</v>
      </c>
      <c r="I793" s="1" t="s">
        <v>30</v>
      </c>
      <c r="J793" s="1">
        <v>5</v>
      </c>
      <c r="K793" s="2">
        <v>1439</v>
      </c>
      <c r="L793" s="5">
        <v>7195</v>
      </c>
      <c r="M793" s="5">
        <v>2033.45</v>
      </c>
      <c r="N793" s="1" t="s">
        <v>21</v>
      </c>
      <c r="O793" s="1" t="s">
        <v>22</v>
      </c>
      <c r="P793" s="1" t="str">
        <f t="shared" si="12"/>
        <v>Medium Value</v>
      </c>
    </row>
    <row r="794" spans="1:16" x14ac:dyDescent="0.35">
      <c r="A794" s="3" t="s">
        <v>1208</v>
      </c>
      <c r="B794" s="4">
        <v>45860</v>
      </c>
      <c r="C794" s="1" t="s">
        <v>147</v>
      </c>
      <c r="D794" s="1" t="s">
        <v>148</v>
      </c>
      <c r="E794" s="1" t="s">
        <v>94</v>
      </c>
      <c r="F794" s="1" t="s">
        <v>27</v>
      </c>
      <c r="G794" s="1" t="s">
        <v>18</v>
      </c>
      <c r="H794" s="1" t="s">
        <v>19</v>
      </c>
      <c r="I794" s="1" t="s">
        <v>20</v>
      </c>
      <c r="J794" s="1">
        <v>5</v>
      </c>
      <c r="K794" s="2">
        <v>3999</v>
      </c>
      <c r="L794" s="5">
        <v>19995</v>
      </c>
      <c r="M794" s="5">
        <v>5084.6899999999996</v>
      </c>
      <c r="N794" s="1" t="s">
        <v>59</v>
      </c>
      <c r="O794" s="1" t="s">
        <v>90</v>
      </c>
      <c r="P794" s="1" t="str">
        <f t="shared" si="12"/>
        <v>High Value</v>
      </c>
    </row>
    <row r="795" spans="1:16" x14ac:dyDescent="0.35">
      <c r="A795" s="3" t="s">
        <v>1209</v>
      </c>
      <c r="B795" s="4">
        <v>45983</v>
      </c>
      <c r="C795" s="1" t="s">
        <v>721</v>
      </c>
      <c r="D795" s="1" t="s">
        <v>722</v>
      </c>
      <c r="E795" s="1" t="s">
        <v>172</v>
      </c>
      <c r="F795" s="1" t="s">
        <v>173</v>
      </c>
      <c r="G795" s="1" t="s">
        <v>57</v>
      </c>
      <c r="H795" s="1" t="s">
        <v>58</v>
      </c>
      <c r="I795" s="1" t="s">
        <v>44</v>
      </c>
      <c r="J795" s="1">
        <v>4</v>
      </c>
      <c r="K795" s="2">
        <v>439</v>
      </c>
      <c r="L795" s="5">
        <v>1668.2</v>
      </c>
      <c r="M795" s="5">
        <v>325.56</v>
      </c>
      <c r="N795" s="1" t="s">
        <v>113</v>
      </c>
      <c r="O795" s="1" t="s">
        <v>53</v>
      </c>
      <c r="P795" s="1" t="str">
        <f t="shared" si="12"/>
        <v>Low Value</v>
      </c>
    </row>
    <row r="796" spans="1:16" x14ac:dyDescent="0.35">
      <c r="A796" s="3" t="s">
        <v>1210</v>
      </c>
      <c r="B796" s="4">
        <v>46018</v>
      </c>
      <c r="C796" s="1" t="s">
        <v>543</v>
      </c>
      <c r="D796" s="1" t="s">
        <v>484</v>
      </c>
      <c r="E796" s="1" t="s">
        <v>145</v>
      </c>
      <c r="F796" s="1" t="s">
        <v>0</v>
      </c>
      <c r="G796" s="1" t="s">
        <v>254</v>
      </c>
      <c r="H796" s="1" t="s">
        <v>255</v>
      </c>
      <c r="I796" s="1" t="s">
        <v>30</v>
      </c>
      <c r="J796" s="1">
        <v>2</v>
      </c>
      <c r="K796" s="2">
        <v>879</v>
      </c>
      <c r="L796" s="5">
        <v>1406.4</v>
      </c>
      <c r="M796" s="5">
        <v>192.75</v>
      </c>
      <c r="N796" s="1" t="s">
        <v>89</v>
      </c>
      <c r="O796" s="1" t="s">
        <v>90</v>
      </c>
      <c r="P796" s="1" t="str">
        <f t="shared" si="12"/>
        <v>Low Value</v>
      </c>
    </row>
    <row r="797" spans="1:16" x14ac:dyDescent="0.35">
      <c r="A797" s="3" t="s">
        <v>1218</v>
      </c>
      <c r="B797" s="4">
        <v>45885</v>
      </c>
      <c r="C797" s="1" t="s">
        <v>305</v>
      </c>
      <c r="D797" s="1" t="s">
        <v>306</v>
      </c>
      <c r="E797" s="1" t="s">
        <v>94</v>
      </c>
      <c r="F797" s="1" t="s">
        <v>27</v>
      </c>
      <c r="G797" s="1" t="s">
        <v>95</v>
      </c>
      <c r="H797" s="1" t="s">
        <v>96</v>
      </c>
      <c r="I797" s="1" t="s">
        <v>97</v>
      </c>
      <c r="J797" s="1">
        <v>7</v>
      </c>
      <c r="K797" s="2">
        <v>261</v>
      </c>
      <c r="L797" s="5">
        <v>1735.65</v>
      </c>
      <c r="M797" s="5">
        <v>355.96</v>
      </c>
      <c r="N797" s="1" t="s">
        <v>89</v>
      </c>
      <c r="O797" s="1" t="s">
        <v>22</v>
      </c>
      <c r="P797" s="1" t="str">
        <f t="shared" si="12"/>
        <v>Low Value</v>
      </c>
    </row>
    <row r="798" spans="1:16" x14ac:dyDescent="0.35">
      <c r="A798" s="3" t="s">
        <v>1211</v>
      </c>
      <c r="B798" s="4">
        <v>45756</v>
      </c>
      <c r="C798" s="1" t="s">
        <v>232</v>
      </c>
      <c r="D798" s="1" t="s">
        <v>221</v>
      </c>
      <c r="E798" s="1" t="s">
        <v>166</v>
      </c>
      <c r="F798" s="1" t="s">
        <v>27</v>
      </c>
      <c r="G798" s="1" t="s">
        <v>35</v>
      </c>
      <c r="H798" s="1" t="s">
        <v>36</v>
      </c>
      <c r="I798" s="1" t="s">
        <v>37</v>
      </c>
      <c r="J798" s="1">
        <v>1</v>
      </c>
      <c r="K798" s="2">
        <v>1299</v>
      </c>
      <c r="L798" s="5">
        <v>1039.2</v>
      </c>
      <c r="M798" s="5">
        <v>335.36</v>
      </c>
      <c r="N798" s="1" t="s">
        <v>59</v>
      </c>
      <c r="O798" s="1" t="s">
        <v>22</v>
      </c>
      <c r="P798" s="1" t="str">
        <f t="shared" si="12"/>
        <v>Low Value</v>
      </c>
    </row>
    <row r="799" spans="1:16" x14ac:dyDescent="0.35">
      <c r="A799" s="3" t="s">
        <v>1212</v>
      </c>
      <c r="B799" s="4">
        <v>45885</v>
      </c>
      <c r="C799" s="1" t="s">
        <v>305</v>
      </c>
      <c r="D799" s="1" t="s">
        <v>306</v>
      </c>
      <c r="E799" s="1" t="s">
        <v>94</v>
      </c>
      <c r="F799" s="1" t="s">
        <v>27</v>
      </c>
      <c r="G799" s="1" t="s">
        <v>95</v>
      </c>
      <c r="H799" s="1" t="s">
        <v>96</v>
      </c>
      <c r="I799" s="1" t="s">
        <v>97</v>
      </c>
      <c r="J799" s="1">
        <v>7</v>
      </c>
      <c r="K799" s="2">
        <v>261</v>
      </c>
      <c r="L799" s="5">
        <v>1735.65</v>
      </c>
      <c r="M799" s="5">
        <v>355.96</v>
      </c>
      <c r="N799" s="1" t="s">
        <v>89</v>
      </c>
      <c r="O799" s="1" t="s">
        <v>22</v>
      </c>
      <c r="P799" s="1" t="str">
        <f t="shared" si="12"/>
        <v>Low Value</v>
      </c>
    </row>
    <row r="800" spans="1:16" x14ac:dyDescent="0.35">
      <c r="A800" s="3" t="s">
        <v>1213</v>
      </c>
      <c r="B800" s="4">
        <v>45756</v>
      </c>
      <c r="C800" s="1" t="s">
        <v>232</v>
      </c>
      <c r="D800" s="1" t="s">
        <v>221</v>
      </c>
      <c r="E800" s="1" t="s">
        <v>166</v>
      </c>
      <c r="F800" s="1" t="s">
        <v>27</v>
      </c>
      <c r="G800" s="1" t="s">
        <v>35</v>
      </c>
      <c r="H800" s="1" t="s">
        <v>36</v>
      </c>
      <c r="I800" s="1" t="s">
        <v>37</v>
      </c>
      <c r="J800" s="1">
        <v>1</v>
      </c>
      <c r="K800" s="2">
        <v>1299</v>
      </c>
      <c r="L800" s="5">
        <v>1039.2</v>
      </c>
      <c r="M800" s="5">
        <v>335.36</v>
      </c>
      <c r="N800" s="1" t="s">
        <v>59</v>
      </c>
      <c r="O800" s="1" t="s">
        <v>22</v>
      </c>
      <c r="P800" s="1" t="str">
        <f t="shared" si="12"/>
        <v>Low Value</v>
      </c>
    </row>
  </sheetData>
  <phoneticPr fontId="5" type="noConversion"/>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0F2E2807-A52C-4CA9-ACDB-BD4C4E2F923E}">
            <x14:iconSet iconSet="3Triangles">
              <x14:cfvo type="percent">
                <xm:f>0</xm:f>
              </x14:cfvo>
              <x14:cfvo type="num">
                <xm:f>5000</xm:f>
              </x14:cfvo>
              <x14:cfvo type="num">
                <xm:f>10000</xm:f>
              </x14:cfvo>
            </x14:iconSet>
          </x14:cfRule>
          <xm:sqref>L2:L800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2C2D-1A2A-434D-8491-019774FF0CD3}">
  <dimension ref="A1:L14"/>
  <sheetViews>
    <sheetView workbookViewId="0">
      <selection activeCell="C23" sqref="C23"/>
    </sheetView>
  </sheetViews>
  <sheetFormatPr defaultRowHeight="14.5" x14ac:dyDescent="0.35"/>
  <cols>
    <col min="1" max="1" width="22.81640625" customWidth="1"/>
    <col min="2" max="2" width="18.26953125" customWidth="1"/>
    <col min="4" max="4" width="23.81640625" bestFit="1" customWidth="1"/>
    <col min="5" max="5" width="15" customWidth="1"/>
    <col min="6" max="6" width="9.453125" customWidth="1"/>
    <col min="8" max="8" width="12.90625" bestFit="1" customWidth="1"/>
    <col min="11" max="11" width="11.08984375" customWidth="1"/>
    <col min="12" max="12" width="9.7265625" customWidth="1"/>
  </cols>
  <sheetData>
    <row r="1" spans="1:12" ht="19" thickBot="1" x14ac:dyDescent="0.5">
      <c r="A1" s="82" t="s">
        <v>1221</v>
      </c>
      <c r="B1" s="82"/>
      <c r="D1" s="82" t="s">
        <v>1222</v>
      </c>
      <c r="E1" s="82"/>
      <c r="H1" s="85" t="s">
        <v>1231</v>
      </c>
      <c r="I1" s="86"/>
      <c r="K1" s="85" t="s">
        <v>1232</v>
      </c>
      <c r="L1" s="86"/>
    </row>
    <row r="2" spans="1:12" ht="16.5" thickBot="1" x14ac:dyDescent="0.4">
      <c r="A2" s="10" t="s">
        <v>1219</v>
      </c>
      <c r="B2" s="9" t="s">
        <v>63</v>
      </c>
      <c r="D2" s="10" t="s">
        <v>1223</v>
      </c>
      <c r="E2" s="9" t="s">
        <v>129</v>
      </c>
      <c r="H2" s="87">
        <f>COUNTA(data[Order ID])</f>
        <v>799</v>
      </c>
      <c r="I2" s="88"/>
      <c r="K2" s="89">
        <f>SUM(data[Sales Amount])</f>
        <v>6736567.6000000061</v>
      </c>
      <c r="L2" s="90"/>
    </row>
    <row r="3" spans="1:12" ht="16.5" thickBot="1" x14ac:dyDescent="0.4">
      <c r="A3" s="10" t="s">
        <v>1220</v>
      </c>
      <c r="B3" s="8" t="str">
        <f>IFERROR(VLOOKUP(B2, data[[Product ID]:[Product Name]], 2, FALSE), "Not Found")</f>
        <v>Wireless Mouse</v>
      </c>
      <c r="D3" s="10" t="s">
        <v>1224</v>
      </c>
      <c r="E3" s="8" t="str">
        <f>IFERROR(INDEX(data[Customer Name], MATCH(Analysis!E2, data[Customer ID],0)), "Not Found")</f>
        <v>Myra Trivedi</v>
      </c>
    </row>
    <row r="4" spans="1:12" ht="16.5" thickBot="1" x14ac:dyDescent="0.4">
      <c r="H4" s="80" t="s">
        <v>1233</v>
      </c>
      <c r="I4" s="80"/>
      <c r="K4" s="91" t="s">
        <v>1235</v>
      </c>
      <c r="L4" s="92"/>
    </row>
    <row r="5" spans="1:12" ht="15" thickBot="1" x14ac:dyDescent="0.4">
      <c r="H5" s="81">
        <f>AVERAGE(data[Sales Amount])</f>
        <v>8431.2485607008839</v>
      </c>
      <c r="I5" s="81"/>
      <c r="K5" s="93">
        <f>SUM(Data!J775:J800)</f>
        <v>96</v>
      </c>
      <c r="L5" s="94"/>
    </row>
    <row r="6" spans="1:12" ht="19" thickBot="1" x14ac:dyDescent="0.5">
      <c r="A6" s="82" t="s">
        <v>1227</v>
      </c>
      <c r="B6" s="82"/>
      <c r="D6" s="82" t="s">
        <v>1226</v>
      </c>
      <c r="E6" s="82"/>
    </row>
    <row r="7" spans="1:12" ht="16.5" thickBot="1" x14ac:dyDescent="0.4">
      <c r="A7" s="10" t="s">
        <v>88</v>
      </c>
      <c r="B7" s="12">
        <f>SUMIF(data[Product Name], A7, data[Sales Amount])</f>
        <v>1072432.6000000001</v>
      </c>
      <c r="D7" s="10" t="s">
        <v>49</v>
      </c>
      <c r="E7" s="8">
        <f>COUNTIF(data[State],D7)</f>
        <v>51</v>
      </c>
      <c r="H7" s="80" t="s">
        <v>1236</v>
      </c>
      <c r="I7" s="80"/>
      <c r="K7" s="80" t="s">
        <v>1237</v>
      </c>
      <c r="L7" s="80"/>
    </row>
    <row r="8" spans="1:12" ht="15" thickBot="1" x14ac:dyDescent="0.4">
      <c r="H8" s="83">
        <f>IFERROR(SUM(data[Profit])/SUM(data[Sales Amount]),0)</f>
        <v>0.23122412517615043</v>
      </c>
      <c r="I8" s="83"/>
      <c r="K8" s="84">
        <f>COUNTIF(data[Order Status],"Completed")</f>
        <v>588</v>
      </c>
      <c r="L8" s="84"/>
    </row>
    <row r="9" spans="1:12" ht="15" thickBot="1" x14ac:dyDescent="0.4"/>
    <row r="10" spans="1:12" ht="16.5" thickBot="1" x14ac:dyDescent="0.4">
      <c r="H10" s="80" t="s">
        <v>1234</v>
      </c>
      <c r="I10" s="80"/>
    </row>
    <row r="11" spans="1:12" ht="19" thickBot="1" x14ac:dyDescent="0.5">
      <c r="A11" s="82" t="s">
        <v>1228</v>
      </c>
      <c r="B11" s="82"/>
      <c r="D11" s="82" t="s">
        <v>1230</v>
      </c>
      <c r="E11" s="82"/>
      <c r="H11" s="81">
        <f>SUM(data[Profit])</f>
        <v>1557656.9500000007</v>
      </c>
      <c r="I11" s="81"/>
    </row>
    <row r="12" spans="1:12" ht="16.5" thickBot="1" x14ac:dyDescent="0.4">
      <c r="A12" s="10" t="s">
        <v>8</v>
      </c>
      <c r="B12" s="8" t="str">
        <f>_xlfn.XLOOKUP(B14, data[Sales Amount], data[Product Name])</f>
        <v>Study Desk</v>
      </c>
      <c r="D12" s="10" t="s">
        <v>8</v>
      </c>
      <c r="E12" s="8" t="str">
        <f>_xlfn.XLOOKUP(E14, data[Sales Amount], data[Product Name])</f>
        <v>Gel Pen Pack</v>
      </c>
    </row>
    <row r="13" spans="1:12" ht="16.5" thickBot="1" x14ac:dyDescent="0.4">
      <c r="A13" s="10" t="s">
        <v>9</v>
      </c>
      <c r="B13" s="8" t="str">
        <f>_xlfn.XLOOKUP(B14, data[Sales Amount], data[Category])</f>
        <v>Furniture</v>
      </c>
      <c r="D13" s="10" t="s">
        <v>9</v>
      </c>
      <c r="E13" s="8" t="str">
        <f>_xlfn.XLOOKUP(E14, data[Sales Amount], data[Category])</f>
        <v>Stationery</v>
      </c>
    </row>
    <row r="14" spans="1:12" ht="16.5" thickBot="1" x14ac:dyDescent="0.4">
      <c r="A14" s="10" t="s">
        <v>1229</v>
      </c>
      <c r="B14" s="12">
        <f>MAX(Data!L776:L800)</f>
        <v>25077.15</v>
      </c>
      <c r="D14" s="10" t="s">
        <v>1229</v>
      </c>
      <c r="E14" s="12">
        <f>MIN(data[Sales Amount])</f>
        <v>107.2</v>
      </c>
    </row>
  </sheetData>
  <mergeCells count="20">
    <mergeCell ref="K7:L7"/>
    <mergeCell ref="K8:L8"/>
    <mergeCell ref="H1:I1"/>
    <mergeCell ref="H2:I2"/>
    <mergeCell ref="K1:L1"/>
    <mergeCell ref="K2:L2"/>
    <mergeCell ref="H4:I4"/>
    <mergeCell ref="H5:I5"/>
    <mergeCell ref="K4:L4"/>
    <mergeCell ref="K5:L5"/>
    <mergeCell ref="H10:I10"/>
    <mergeCell ref="H11:I11"/>
    <mergeCell ref="A1:B1"/>
    <mergeCell ref="D1:E1"/>
    <mergeCell ref="A6:B6"/>
    <mergeCell ref="D6:E6"/>
    <mergeCell ref="A11:B11"/>
    <mergeCell ref="D11:E11"/>
    <mergeCell ref="H7:I7"/>
    <mergeCell ref="H8:I8"/>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069B9B4-3BEC-425B-904B-5AB450EC7269}">
          <x14:formula1>
            <xm:f>Data!$H$2:$H$800</xm:f>
          </x14:formula1>
          <xm:sqref>A7</xm:sqref>
        </x14:dataValidation>
        <x14:dataValidation type="list" allowBlank="1" showInputMessage="1" showErrorMessage="1" xr:uid="{BB0273D4-FDBC-4D77-B40A-EEE67FC458C1}">
          <x14:formula1>
            <xm:f>Data!$F$776:$F$800</xm:f>
          </x14:formula1>
          <xm:sqref>D7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7EF0A-AD74-4A2C-9C56-113C5F0737C1}">
  <dimension ref="A1:L28"/>
  <sheetViews>
    <sheetView topLeftCell="A4" workbookViewId="0">
      <selection activeCell="D24" sqref="D24"/>
    </sheetView>
  </sheetViews>
  <sheetFormatPr defaultRowHeight="14.5" x14ac:dyDescent="0.35"/>
  <cols>
    <col min="1" max="1" width="20.26953125" bestFit="1" customWidth="1"/>
    <col min="2" max="2" width="12.90625" bestFit="1" customWidth="1"/>
    <col min="3" max="3" width="7.54296875" customWidth="1"/>
    <col min="4" max="4" width="17.7265625" bestFit="1" customWidth="1"/>
    <col min="5" max="5" width="10.90625" bestFit="1" customWidth="1"/>
    <col min="6" max="6" width="8.6328125" customWidth="1"/>
    <col min="7" max="7" width="10.7265625" bestFit="1" customWidth="1"/>
    <col min="8" max="8" width="10.90625" bestFit="1" customWidth="1"/>
    <col min="9" max="9" width="13.08984375" customWidth="1"/>
    <col min="10" max="10" width="9.453125" customWidth="1"/>
    <col min="11" max="11" width="18.1796875" bestFit="1" customWidth="1"/>
    <col min="12" max="12" width="12.90625" bestFit="1" customWidth="1"/>
    <col min="13" max="13" width="18.6328125" bestFit="1" customWidth="1"/>
    <col min="14" max="14" width="11.81640625" bestFit="1" customWidth="1"/>
    <col min="15" max="15" width="18.6328125" bestFit="1" customWidth="1"/>
    <col min="16" max="16" width="11.54296875" bestFit="1" customWidth="1"/>
    <col min="17" max="17" width="23.1796875" bestFit="1" customWidth="1"/>
    <col min="18" max="18" width="16.08984375" bestFit="1" customWidth="1"/>
    <col min="19" max="59" width="9.26953125" bestFit="1" customWidth="1"/>
    <col min="60" max="60" width="10.26953125" bestFit="1" customWidth="1"/>
    <col min="61" max="65" width="9.26953125" bestFit="1" customWidth="1"/>
    <col min="66" max="66" width="10.26953125" bestFit="1" customWidth="1"/>
    <col min="67" max="71" width="9.26953125" bestFit="1" customWidth="1"/>
    <col min="72" max="72" width="10.26953125" bestFit="1" customWidth="1"/>
    <col min="73" max="74" width="9.26953125" bestFit="1" customWidth="1"/>
    <col min="75" max="75" width="10.26953125" bestFit="1" customWidth="1"/>
    <col min="76" max="77" width="9.26953125" bestFit="1" customWidth="1"/>
    <col min="78" max="79" width="10.26953125" bestFit="1" customWidth="1"/>
    <col min="80" max="81" width="9.26953125" bestFit="1" customWidth="1"/>
    <col min="82" max="82" width="10.26953125" bestFit="1" customWidth="1"/>
    <col min="83" max="89" width="9.26953125" bestFit="1" customWidth="1"/>
    <col min="90" max="90" width="10.26953125" bestFit="1" customWidth="1"/>
    <col min="91" max="91" width="9.26953125" bestFit="1" customWidth="1"/>
    <col min="92" max="94" width="10.26953125" bestFit="1" customWidth="1"/>
    <col min="95" max="95" width="11.81640625" bestFit="1" customWidth="1"/>
    <col min="96" max="96" width="11.90625" bestFit="1" customWidth="1"/>
    <col min="97" max="100" width="7.7265625" bestFit="1" customWidth="1"/>
    <col min="101" max="101" width="9.26953125" bestFit="1" customWidth="1"/>
    <col min="102" max="102" width="7.7265625" bestFit="1" customWidth="1"/>
    <col min="103" max="104" width="9.26953125" bestFit="1" customWidth="1"/>
    <col min="105" max="106" width="7.7265625" bestFit="1" customWidth="1"/>
    <col min="107" max="178" width="9.26953125" bestFit="1" customWidth="1"/>
    <col min="179" max="179" width="10.26953125" bestFit="1" customWidth="1"/>
    <col min="180" max="192" width="9.26953125" bestFit="1" customWidth="1"/>
    <col min="193" max="193" width="10.26953125" bestFit="1" customWidth="1"/>
    <col min="194" max="195" width="9.26953125" bestFit="1" customWidth="1"/>
    <col min="196" max="196" width="10.26953125" bestFit="1" customWidth="1"/>
    <col min="197" max="199" width="9.26953125" bestFit="1" customWidth="1"/>
    <col min="200" max="200" width="10.26953125" bestFit="1" customWidth="1"/>
    <col min="201" max="201" width="9.26953125" bestFit="1" customWidth="1"/>
    <col min="202" max="204" width="10.26953125" bestFit="1" customWidth="1"/>
    <col min="205" max="205" width="9.26953125" bestFit="1" customWidth="1"/>
    <col min="206" max="206" width="10.26953125" bestFit="1" customWidth="1"/>
    <col min="207" max="207" width="9.26953125" bestFit="1" customWidth="1"/>
    <col min="208" max="208" width="10.26953125" bestFit="1" customWidth="1"/>
    <col min="209" max="209" width="9.26953125" bestFit="1" customWidth="1"/>
    <col min="210" max="211" width="10.26953125" bestFit="1" customWidth="1"/>
    <col min="212" max="212" width="9.26953125" bestFit="1" customWidth="1"/>
    <col min="213" max="213" width="10.26953125" bestFit="1" customWidth="1"/>
    <col min="214" max="221" width="9.26953125" bestFit="1" customWidth="1"/>
    <col min="222" max="222" width="10.26953125" bestFit="1" customWidth="1"/>
    <col min="223" max="223" width="9.26953125" bestFit="1" customWidth="1"/>
    <col min="224" max="224" width="10.26953125" bestFit="1" customWidth="1"/>
    <col min="225" max="225" width="9.26953125" bestFit="1" customWidth="1"/>
    <col min="226" max="230" width="10.26953125" bestFit="1" customWidth="1"/>
    <col min="231" max="231" width="9.26953125" bestFit="1" customWidth="1"/>
    <col min="232" max="232" width="10.26953125" bestFit="1" customWidth="1"/>
    <col min="233" max="233" width="9.26953125" bestFit="1" customWidth="1"/>
    <col min="234" max="242" width="10.26953125" bestFit="1" customWidth="1"/>
    <col min="243" max="244" width="9.26953125" bestFit="1" customWidth="1"/>
    <col min="245" max="277" width="10.26953125" bestFit="1" customWidth="1"/>
    <col min="278" max="278" width="14.7265625" bestFit="1" customWidth="1"/>
    <col min="279" max="279" width="9.1796875" bestFit="1" customWidth="1"/>
    <col min="280" max="284" width="7.7265625" bestFit="1" customWidth="1"/>
    <col min="285" max="286" width="9.26953125" bestFit="1" customWidth="1"/>
    <col min="287" max="287" width="7.7265625" bestFit="1" customWidth="1"/>
    <col min="288" max="289" width="9.26953125" bestFit="1" customWidth="1"/>
    <col min="290" max="290" width="7.7265625" bestFit="1" customWidth="1"/>
    <col min="291" max="363" width="9.26953125" bestFit="1" customWidth="1"/>
    <col min="364" max="364" width="10.26953125" bestFit="1" customWidth="1"/>
    <col min="365" max="372" width="9.26953125" bestFit="1" customWidth="1"/>
    <col min="373" max="374" width="10.26953125" bestFit="1" customWidth="1"/>
    <col min="375" max="380" width="9.26953125" bestFit="1" customWidth="1"/>
    <col min="381" max="381" width="10.26953125" bestFit="1" customWidth="1"/>
    <col min="382" max="386" width="9.26953125" bestFit="1" customWidth="1"/>
    <col min="387" max="395" width="10.26953125" bestFit="1" customWidth="1"/>
    <col min="396" max="396" width="11.90625" bestFit="1" customWidth="1"/>
    <col min="397" max="397" width="10.26953125" bestFit="1" customWidth="1"/>
    <col min="398" max="399" width="9.26953125" bestFit="1" customWidth="1"/>
    <col min="400" max="402" width="10.26953125" bestFit="1" customWidth="1"/>
    <col min="403" max="404" width="9.26953125" bestFit="1" customWidth="1"/>
    <col min="405" max="405" width="10.26953125" bestFit="1" customWidth="1"/>
    <col min="406" max="406" width="9.26953125" bestFit="1" customWidth="1"/>
    <col min="407" max="409" width="10.26953125" bestFit="1" customWidth="1"/>
    <col min="410" max="410" width="9.26953125" bestFit="1" customWidth="1"/>
    <col min="411" max="487" width="10.26953125" bestFit="1" customWidth="1"/>
    <col min="488" max="488" width="13.08984375" bestFit="1" customWidth="1"/>
    <col min="489" max="489" width="15.90625" bestFit="1" customWidth="1"/>
    <col min="490" max="497" width="7.7265625" bestFit="1" customWidth="1"/>
    <col min="498" max="498" width="9.26953125" bestFit="1" customWidth="1"/>
    <col min="499" max="500" width="7.7265625" bestFit="1" customWidth="1"/>
    <col min="501" max="501" width="9.26953125" bestFit="1" customWidth="1"/>
    <col min="502" max="506" width="7.7265625" bestFit="1" customWidth="1"/>
    <col min="507" max="507" width="9.26953125" bestFit="1" customWidth="1"/>
    <col min="508" max="509" width="7.7265625" bestFit="1" customWidth="1"/>
    <col min="510" max="510" width="9.26953125" bestFit="1" customWidth="1"/>
    <col min="511" max="511" width="7.7265625" bestFit="1" customWidth="1"/>
    <col min="512" max="512" width="9.26953125" bestFit="1" customWidth="1"/>
    <col min="513" max="513" width="7.7265625" bestFit="1" customWidth="1"/>
    <col min="514" max="519" width="9.26953125" bestFit="1" customWidth="1"/>
    <col min="520" max="520" width="7.7265625" bestFit="1" customWidth="1"/>
    <col min="521" max="615" width="9.26953125" bestFit="1" customWidth="1"/>
    <col min="616" max="616" width="10.26953125" bestFit="1" customWidth="1"/>
    <col min="617" max="617" width="9.26953125" bestFit="1" customWidth="1"/>
    <col min="618" max="618" width="10.26953125" bestFit="1" customWidth="1"/>
    <col min="619" max="622" width="9.26953125" bestFit="1" customWidth="1"/>
    <col min="623" max="623" width="10.26953125" bestFit="1" customWidth="1"/>
    <col min="624" max="624" width="9.26953125" bestFit="1" customWidth="1"/>
    <col min="625" max="625" width="10.26953125" bestFit="1" customWidth="1"/>
    <col min="626" max="626" width="9.26953125" bestFit="1" customWidth="1"/>
    <col min="627" max="647" width="10.26953125" bestFit="1" customWidth="1"/>
    <col min="648" max="648" width="18.7265625" bestFit="1" customWidth="1"/>
    <col min="649" max="649" width="7.90625" bestFit="1" customWidth="1"/>
    <col min="650" max="650" width="7.7265625" bestFit="1" customWidth="1"/>
    <col min="651" max="651" width="9.26953125" bestFit="1" customWidth="1"/>
    <col min="652" max="653" width="7.7265625" bestFit="1" customWidth="1"/>
    <col min="654" max="654" width="9.26953125" bestFit="1" customWidth="1"/>
    <col min="655" max="655" width="7.7265625" bestFit="1" customWidth="1"/>
    <col min="656" max="656" width="9.26953125" bestFit="1" customWidth="1"/>
    <col min="657" max="659" width="7.7265625" bestFit="1" customWidth="1"/>
    <col min="660" max="709" width="9.26953125" bestFit="1" customWidth="1"/>
    <col min="710" max="710" width="10.26953125" bestFit="1" customWidth="1"/>
    <col min="711" max="719" width="9.26953125" bestFit="1" customWidth="1"/>
    <col min="720" max="720" width="10.26953125" bestFit="1" customWidth="1"/>
    <col min="721" max="722" width="9.26953125" bestFit="1" customWidth="1"/>
    <col min="723" max="723" width="10.26953125" bestFit="1" customWidth="1"/>
    <col min="724" max="724" width="9.26953125" bestFit="1" customWidth="1"/>
    <col min="725" max="727" width="10.26953125" bestFit="1" customWidth="1"/>
    <col min="728" max="728" width="9.26953125" bestFit="1" customWidth="1"/>
    <col min="729" max="733" width="10.26953125" bestFit="1" customWidth="1"/>
    <col min="734" max="734" width="11.81640625" bestFit="1" customWidth="1"/>
    <col min="735" max="735" width="11.08984375" bestFit="1" customWidth="1"/>
    <col min="736" max="764" width="7.7265625" bestFit="1" customWidth="1"/>
    <col min="765" max="765" width="9.26953125" bestFit="1" customWidth="1"/>
    <col min="766" max="777" width="7.7265625" bestFit="1" customWidth="1"/>
    <col min="778" max="778" width="9.26953125" bestFit="1" customWidth="1"/>
    <col min="779" max="781" width="7.7265625" bestFit="1" customWidth="1"/>
    <col min="782" max="783" width="9.26953125" bestFit="1" customWidth="1"/>
    <col min="784" max="785" width="7.7265625" bestFit="1" customWidth="1"/>
    <col min="786" max="786" width="9.26953125" bestFit="1" customWidth="1"/>
    <col min="787" max="789" width="7.7265625" bestFit="1" customWidth="1"/>
    <col min="790" max="791" width="9.26953125" bestFit="1" customWidth="1"/>
    <col min="792" max="792" width="7.7265625" bestFit="1" customWidth="1"/>
    <col min="793" max="794" width="9.26953125" bestFit="1" customWidth="1"/>
    <col min="795" max="795" width="7.7265625" bestFit="1" customWidth="1"/>
    <col min="796" max="805" width="9.26953125" bestFit="1" customWidth="1"/>
    <col min="806" max="806" width="13.90625" bestFit="1" customWidth="1"/>
    <col min="807" max="807" width="12.90625" bestFit="1" customWidth="1"/>
  </cols>
  <sheetData>
    <row r="1" spans="1:12" x14ac:dyDescent="0.35">
      <c r="A1" s="13" t="s">
        <v>1253</v>
      </c>
      <c r="B1" s="1" t="s">
        <v>1252</v>
      </c>
      <c r="D1" s="14" t="s">
        <v>1254</v>
      </c>
      <c r="E1" s="15" t="s">
        <v>1255</v>
      </c>
      <c r="G1" s="14" t="s">
        <v>6</v>
      </c>
      <c r="H1" s="15" t="s">
        <v>1252</v>
      </c>
      <c r="K1" s="14" t="s">
        <v>1251</v>
      </c>
      <c r="L1" s="15" t="s">
        <v>1252</v>
      </c>
    </row>
    <row r="2" spans="1:12" x14ac:dyDescent="0.35">
      <c r="A2" s="1" t="s">
        <v>1239</v>
      </c>
      <c r="B2" s="5">
        <v>568603.39999999991</v>
      </c>
      <c r="D2" s="15" t="s">
        <v>97</v>
      </c>
      <c r="E2" s="95">
        <v>72</v>
      </c>
      <c r="G2" s="15" t="s">
        <v>173</v>
      </c>
      <c r="H2" s="16">
        <v>273730.84999999998</v>
      </c>
      <c r="K2" s="15" t="s">
        <v>51</v>
      </c>
      <c r="L2" s="16">
        <v>1744262.55</v>
      </c>
    </row>
    <row r="3" spans="1:12" x14ac:dyDescent="0.35">
      <c r="A3" s="1" t="s">
        <v>1240</v>
      </c>
      <c r="B3" s="5">
        <v>409730.9</v>
      </c>
      <c r="D3" s="15" t="s">
        <v>107</v>
      </c>
      <c r="E3" s="95">
        <v>85</v>
      </c>
      <c r="G3" s="15" t="s">
        <v>76</v>
      </c>
      <c r="H3" s="16">
        <v>404079.40000000008</v>
      </c>
      <c r="K3" s="15" t="s">
        <v>88</v>
      </c>
      <c r="L3" s="16">
        <v>1072432.6000000001</v>
      </c>
    </row>
    <row r="4" spans="1:12" x14ac:dyDescent="0.35">
      <c r="A4" s="1" t="s">
        <v>1241</v>
      </c>
      <c r="B4" s="5">
        <v>683203.55</v>
      </c>
      <c r="D4" s="15" t="s">
        <v>52</v>
      </c>
      <c r="E4" s="95">
        <v>91</v>
      </c>
      <c r="G4" s="15" t="s">
        <v>49</v>
      </c>
      <c r="H4" s="16">
        <v>408158.60000000003</v>
      </c>
      <c r="K4" s="15" t="s">
        <v>71</v>
      </c>
      <c r="L4" s="16">
        <v>514112.00000000012</v>
      </c>
    </row>
    <row r="5" spans="1:12" x14ac:dyDescent="0.35">
      <c r="A5" s="1" t="s">
        <v>1242</v>
      </c>
      <c r="B5" s="5">
        <v>479137.00000000006</v>
      </c>
      <c r="D5" s="15" t="s">
        <v>30</v>
      </c>
      <c r="E5" s="95">
        <v>92</v>
      </c>
      <c r="G5" s="15" t="s">
        <v>81</v>
      </c>
      <c r="H5" s="16">
        <v>421864</v>
      </c>
      <c r="K5" s="15" t="s">
        <v>19</v>
      </c>
      <c r="L5" s="16">
        <v>476559.80000000005</v>
      </c>
    </row>
    <row r="6" spans="1:12" x14ac:dyDescent="0.35">
      <c r="A6" s="1" t="s">
        <v>1243</v>
      </c>
      <c r="B6" s="5">
        <v>484355.65</v>
      </c>
      <c r="D6" s="15" t="s">
        <v>37</v>
      </c>
      <c r="E6" s="95">
        <v>118</v>
      </c>
      <c r="G6" s="15" t="s">
        <v>0</v>
      </c>
      <c r="H6" s="16">
        <v>449421.60000000003</v>
      </c>
      <c r="K6" s="15" t="s">
        <v>178</v>
      </c>
      <c r="L6" s="16">
        <v>346363.95</v>
      </c>
    </row>
    <row r="7" spans="1:12" x14ac:dyDescent="0.35">
      <c r="A7" s="1" t="s">
        <v>1244</v>
      </c>
      <c r="B7" s="5">
        <v>471561.15000000014</v>
      </c>
      <c r="D7" s="15" t="s">
        <v>44</v>
      </c>
      <c r="E7" s="95">
        <v>159</v>
      </c>
      <c r="G7" s="15" t="s">
        <v>17</v>
      </c>
      <c r="H7" s="16">
        <v>741113.80000000028</v>
      </c>
      <c r="K7" s="15" t="s">
        <v>183</v>
      </c>
      <c r="L7" s="16">
        <v>314794.7</v>
      </c>
    </row>
    <row r="8" spans="1:12" x14ac:dyDescent="0.35">
      <c r="A8" s="1" t="s">
        <v>1245</v>
      </c>
      <c r="B8" s="5">
        <v>660978.45000000019</v>
      </c>
      <c r="D8" s="15" t="s">
        <v>20</v>
      </c>
      <c r="E8" s="95">
        <v>182</v>
      </c>
      <c r="G8" s="15" t="s">
        <v>69</v>
      </c>
      <c r="H8" s="16">
        <v>754445.85000000009</v>
      </c>
      <c r="K8" s="15" t="s">
        <v>29</v>
      </c>
      <c r="L8" s="16">
        <v>309601.30000000005</v>
      </c>
    </row>
    <row r="9" spans="1:12" x14ac:dyDescent="0.35">
      <c r="A9" s="1" t="s">
        <v>1246</v>
      </c>
      <c r="B9" s="5">
        <v>409893.2</v>
      </c>
      <c r="D9" s="15" t="s">
        <v>1238</v>
      </c>
      <c r="E9" s="95">
        <v>799</v>
      </c>
      <c r="G9" s="15" t="s">
        <v>112</v>
      </c>
      <c r="H9" s="16">
        <v>893502.69999999972</v>
      </c>
      <c r="K9" s="15" t="s">
        <v>214</v>
      </c>
      <c r="L9" s="16">
        <v>309237.65000000008</v>
      </c>
    </row>
    <row r="10" spans="1:12" x14ac:dyDescent="0.35">
      <c r="A10" s="1" t="s">
        <v>1247</v>
      </c>
      <c r="B10" s="5">
        <v>623376.60000000021</v>
      </c>
      <c r="G10" s="15" t="s">
        <v>27</v>
      </c>
      <c r="H10" s="16">
        <v>1136672.3499999999</v>
      </c>
      <c r="K10" s="15" t="s">
        <v>162</v>
      </c>
      <c r="L10" s="16">
        <v>268230.2</v>
      </c>
    </row>
    <row r="11" spans="1:12" x14ac:dyDescent="0.35">
      <c r="A11" s="1" t="s">
        <v>1248</v>
      </c>
      <c r="B11" s="5">
        <v>567291.69999999972</v>
      </c>
      <c r="G11" s="15" t="s">
        <v>86</v>
      </c>
      <c r="H11" s="16">
        <v>1253578.4500000002</v>
      </c>
      <c r="K11" s="15" t="s">
        <v>121</v>
      </c>
      <c r="L11" s="16">
        <v>261401.79999999996</v>
      </c>
    </row>
    <row r="12" spans="1:12" x14ac:dyDescent="0.35">
      <c r="A12" s="1" t="s">
        <v>1249</v>
      </c>
      <c r="B12" s="5">
        <v>621739.30000000016</v>
      </c>
      <c r="D12" s="14" t="s">
        <v>11</v>
      </c>
      <c r="E12" s="15" t="s">
        <v>1256</v>
      </c>
      <c r="G12" s="15" t="s">
        <v>1238</v>
      </c>
      <c r="H12" s="16">
        <v>6736567.5999999996</v>
      </c>
      <c r="K12" s="15" t="s">
        <v>1238</v>
      </c>
      <c r="L12" s="16">
        <v>5616996.5499999998</v>
      </c>
    </row>
    <row r="13" spans="1:12" x14ac:dyDescent="0.35">
      <c r="A13" s="1" t="s">
        <v>1250</v>
      </c>
      <c r="B13" s="5">
        <v>756696.70000000007</v>
      </c>
      <c r="D13" s="15" t="s">
        <v>113</v>
      </c>
      <c r="E13" s="95">
        <v>170</v>
      </c>
    </row>
    <row r="14" spans="1:12" x14ac:dyDescent="0.35">
      <c r="A14" s="1" t="s">
        <v>1238</v>
      </c>
      <c r="B14" s="5">
        <v>6736567.6000000015</v>
      </c>
      <c r="D14" s="15" t="s">
        <v>45</v>
      </c>
      <c r="E14" s="95">
        <v>166</v>
      </c>
      <c r="G14" s="14" t="s">
        <v>1257</v>
      </c>
      <c r="H14" s="15" t="s">
        <v>1256</v>
      </c>
    </row>
    <row r="15" spans="1:12" x14ac:dyDescent="0.35">
      <c r="D15" s="15" t="s">
        <v>59</v>
      </c>
      <c r="E15" s="95">
        <v>158</v>
      </c>
      <c r="G15" s="15" t="s">
        <v>22</v>
      </c>
      <c r="H15" s="95">
        <v>588</v>
      </c>
    </row>
    <row r="16" spans="1:12" x14ac:dyDescent="0.35">
      <c r="D16" s="15" t="s">
        <v>21</v>
      </c>
      <c r="E16" s="95">
        <v>162</v>
      </c>
      <c r="G16" s="15" t="s">
        <v>136</v>
      </c>
      <c r="H16" s="95">
        <v>81</v>
      </c>
    </row>
    <row r="17" spans="1:8" x14ac:dyDescent="0.35">
      <c r="A17" s="14" t="s">
        <v>1278</v>
      </c>
      <c r="B17" s="15" t="s">
        <v>1252</v>
      </c>
      <c r="D17" s="15" t="s">
        <v>89</v>
      </c>
      <c r="E17" s="95">
        <v>143</v>
      </c>
      <c r="G17" s="15" t="s">
        <v>90</v>
      </c>
      <c r="H17" s="95">
        <v>80</v>
      </c>
    </row>
    <row r="18" spans="1:8" x14ac:dyDescent="0.35">
      <c r="A18" s="15" t="s">
        <v>171</v>
      </c>
      <c r="B18" s="16">
        <v>160108.55000000002</v>
      </c>
      <c r="D18" s="15" t="s">
        <v>1238</v>
      </c>
      <c r="E18" s="95">
        <v>799</v>
      </c>
      <c r="G18" s="15" t="s">
        <v>53</v>
      </c>
      <c r="H18" s="95">
        <v>50</v>
      </c>
    </row>
    <row r="19" spans="1:8" x14ac:dyDescent="0.35">
      <c r="A19" s="15" t="s">
        <v>135</v>
      </c>
      <c r="B19" s="16">
        <v>159836.4</v>
      </c>
      <c r="G19" s="15" t="s">
        <v>1238</v>
      </c>
      <c r="H19" s="95">
        <v>799</v>
      </c>
    </row>
    <row r="20" spans="1:8" x14ac:dyDescent="0.35">
      <c r="A20" s="15" t="s">
        <v>420</v>
      </c>
      <c r="B20" s="16">
        <v>137793.75</v>
      </c>
    </row>
    <row r="21" spans="1:8" x14ac:dyDescent="0.35">
      <c r="A21" s="15" t="s">
        <v>328</v>
      </c>
      <c r="B21" s="16">
        <v>133201.15000000002</v>
      </c>
    </row>
    <row r="22" spans="1:8" x14ac:dyDescent="0.35">
      <c r="A22" s="15" t="s">
        <v>15</v>
      </c>
      <c r="B22" s="16">
        <v>131625.25</v>
      </c>
    </row>
    <row r="23" spans="1:8" x14ac:dyDescent="0.35">
      <c r="A23" s="15" t="s">
        <v>151</v>
      </c>
      <c r="B23" s="16">
        <v>119888.45</v>
      </c>
    </row>
    <row r="24" spans="1:8" x14ac:dyDescent="0.35">
      <c r="A24" s="15" t="s">
        <v>224</v>
      </c>
      <c r="B24" s="16">
        <v>116768.80000000002</v>
      </c>
    </row>
    <row r="25" spans="1:8" x14ac:dyDescent="0.35">
      <c r="A25" s="15" t="s">
        <v>335</v>
      </c>
      <c r="B25" s="16">
        <v>116516.2</v>
      </c>
    </row>
    <row r="26" spans="1:8" x14ac:dyDescent="0.35">
      <c r="A26" s="15" t="s">
        <v>484</v>
      </c>
      <c r="B26" s="16">
        <v>114636.54999999999</v>
      </c>
    </row>
    <row r="27" spans="1:8" x14ac:dyDescent="0.35">
      <c r="A27" s="15" t="s">
        <v>366</v>
      </c>
      <c r="B27" s="16">
        <v>111053.4</v>
      </c>
    </row>
    <row r="28" spans="1:8" x14ac:dyDescent="0.35">
      <c r="A28" s="15" t="s">
        <v>1238</v>
      </c>
      <c r="B28" s="16">
        <v>1301428.5000000002</v>
      </c>
    </row>
  </sheetData>
  <conditionalFormatting sqref="K2:K21">
    <cfRule type="top10" dxfId="624" priority="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83189-24F9-4CCC-8AC6-D0CC9C9EDFEE}">
  <dimension ref="A1:S113"/>
  <sheetViews>
    <sheetView showGridLines="0" tabSelected="1" workbookViewId="0">
      <selection activeCell="I11" sqref="I11"/>
    </sheetView>
  </sheetViews>
  <sheetFormatPr defaultRowHeight="14.5" x14ac:dyDescent="0.35"/>
  <cols>
    <col min="1" max="1" width="2.81640625" customWidth="1"/>
    <col min="2" max="2" width="10.1796875" customWidth="1"/>
    <col min="3" max="3" width="9.90625" customWidth="1"/>
    <col min="5" max="5" width="10.08984375" customWidth="1"/>
    <col min="6" max="6" width="9.7265625" customWidth="1"/>
    <col min="8" max="8" width="9.7265625" customWidth="1"/>
    <col min="9" max="9" width="9.6328125" customWidth="1"/>
    <col min="11" max="11" width="9.36328125" customWidth="1"/>
    <col min="14" max="14" width="9.26953125" customWidth="1"/>
    <col min="15" max="15" width="9.54296875" customWidth="1"/>
    <col min="17" max="17" width="10.7265625" customWidth="1"/>
    <col min="18" max="18" width="9.26953125" customWidth="1"/>
  </cols>
  <sheetData>
    <row r="1" spans="1:19" ht="10.5" customHeight="1" x14ac:dyDescent="0.35">
      <c r="A1" s="21"/>
      <c r="B1" s="22"/>
      <c r="C1" s="22"/>
      <c r="D1" s="22"/>
      <c r="E1" s="22"/>
      <c r="F1" s="22"/>
      <c r="G1" s="22"/>
      <c r="H1" s="22"/>
      <c r="I1" s="22"/>
      <c r="J1" s="22"/>
      <c r="K1" s="22"/>
      <c r="L1" s="22"/>
      <c r="M1" s="22"/>
      <c r="N1" s="22"/>
      <c r="O1" s="22"/>
      <c r="P1" s="22"/>
      <c r="Q1" s="22"/>
      <c r="R1" s="22"/>
      <c r="S1" s="23"/>
    </row>
    <row r="2" spans="1:19" ht="21" x14ac:dyDescent="0.5">
      <c r="A2" s="24"/>
      <c r="B2" s="73" t="s">
        <v>1258</v>
      </c>
      <c r="C2" s="74"/>
      <c r="D2" s="74"/>
      <c r="E2" s="74"/>
      <c r="F2" s="74"/>
      <c r="G2" s="74"/>
      <c r="H2" s="74"/>
      <c r="I2" s="74"/>
      <c r="J2" s="74"/>
      <c r="K2" s="74"/>
      <c r="L2" s="74"/>
      <c r="M2" s="25"/>
      <c r="N2" s="25"/>
      <c r="O2" s="25"/>
      <c r="P2" s="25"/>
      <c r="Q2" s="25"/>
      <c r="R2" s="25"/>
      <c r="S2" s="26"/>
    </row>
    <row r="3" spans="1:19" ht="21.5" thickBot="1" x14ac:dyDescent="0.55000000000000004">
      <c r="A3" s="27"/>
      <c r="B3" s="79" t="s">
        <v>1279</v>
      </c>
      <c r="C3" s="79"/>
      <c r="D3" s="79"/>
      <c r="E3" s="79"/>
      <c r="F3" s="79"/>
      <c r="G3" s="79"/>
      <c r="H3" s="79"/>
      <c r="I3" s="79"/>
      <c r="J3" s="79"/>
      <c r="K3" s="79"/>
      <c r="L3" s="79"/>
      <c r="M3" s="79"/>
      <c r="N3" s="17"/>
      <c r="O3" s="17"/>
      <c r="P3" s="17"/>
      <c r="Q3" s="17"/>
      <c r="R3" s="17"/>
      <c r="S3" s="28"/>
    </row>
    <row r="4" spans="1:19" ht="10.5" customHeight="1" thickTop="1" x14ac:dyDescent="0.35">
      <c r="A4" s="29"/>
      <c r="B4" s="30"/>
      <c r="C4" s="30"/>
      <c r="D4" s="30"/>
      <c r="E4" s="30"/>
      <c r="F4" s="30"/>
      <c r="G4" s="30"/>
      <c r="H4" s="30"/>
      <c r="I4" s="30"/>
      <c r="J4" s="30"/>
      <c r="K4" s="30"/>
      <c r="L4" s="30"/>
      <c r="M4" s="30"/>
      <c r="N4" s="30"/>
      <c r="O4" s="30"/>
      <c r="P4" s="30"/>
      <c r="Q4" s="30"/>
      <c r="R4" s="30"/>
      <c r="S4" s="31"/>
    </row>
    <row r="5" spans="1:19" ht="3" customHeight="1" x14ac:dyDescent="0.35">
      <c r="A5" s="32"/>
      <c r="B5" s="33"/>
      <c r="C5" s="33"/>
      <c r="D5" s="33"/>
      <c r="E5" s="33"/>
      <c r="F5" s="33"/>
      <c r="G5" s="33"/>
      <c r="H5" s="33"/>
      <c r="I5" s="33"/>
      <c r="J5" s="33"/>
      <c r="K5" s="33"/>
      <c r="L5" s="33"/>
      <c r="M5" s="33"/>
      <c r="N5" s="33"/>
      <c r="O5" s="33"/>
      <c r="P5" s="33"/>
      <c r="Q5" s="33"/>
      <c r="R5" s="33"/>
      <c r="S5" s="34"/>
    </row>
    <row r="6" spans="1:19" ht="15" thickBot="1" x14ac:dyDescent="0.4">
      <c r="A6" s="35"/>
      <c r="B6" s="20"/>
      <c r="C6" s="20"/>
      <c r="D6" s="20"/>
      <c r="E6" s="20"/>
      <c r="F6" s="20"/>
      <c r="G6" s="20"/>
      <c r="H6" s="20"/>
      <c r="I6" s="20"/>
      <c r="J6" s="20"/>
      <c r="K6" s="20"/>
      <c r="L6" s="20"/>
      <c r="M6" s="20"/>
      <c r="N6" s="20"/>
      <c r="O6" s="20"/>
      <c r="P6" s="20"/>
      <c r="Q6" s="20"/>
      <c r="R6" s="20"/>
      <c r="S6" s="36"/>
    </row>
    <row r="7" spans="1:19" ht="15" thickTop="1" x14ac:dyDescent="0.35">
      <c r="A7" s="35"/>
      <c r="B7" s="75" t="s">
        <v>1259</v>
      </c>
      <c r="C7" s="58"/>
      <c r="D7" s="20"/>
      <c r="E7" s="76" t="s">
        <v>1260</v>
      </c>
      <c r="F7" s="55"/>
      <c r="G7" s="20"/>
      <c r="H7" s="77" t="s">
        <v>1261</v>
      </c>
      <c r="I7" s="49"/>
      <c r="J7" s="20"/>
      <c r="K7" s="78" t="s">
        <v>1262</v>
      </c>
      <c r="L7" s="61"/>
      <c r="M7" s="20"/>
      <c r="N7" s="65" t="s">
        <v>1263</v>
      </c>
      <c r="O7" s="64"/>
      <c r="P7" s="20"/>
      <c r="Q7" s="66" t="s">
        <v>1237</v>
      </c>
      <c r="R7" s="52"/>
      <c r="S7" s="36"/>
    </row>
    <row r="8" spans="1:19" s="18" customFormat="1" ht="28" x14ac:dyDescent="0.35">
      <c r="A8" s="37"/>
      <c r="B8" s="67">
        <f>Analysis!K2/100000</f>
        <v>67.365676000000065</v>
      </c>
      <c r="C8" s="68"/>
      <c r="D8" s="38"/>
      <c r="E8" s="67">
        <f>Analysis!H11/100000</f>
        <v>15.576569500000007</v>
      </c>
      <c r="F8" s="68"/>
      <c r="G8" s="38"/>
      <c r="H8" s="69">
        <f>IFERROR(Analysis!H8,0)</f>
        <v>0.23122412517615043</v>
      </c>
      <c r="I8" s="68"/>
      <c r="J8" s="38"/>
      <c r="K8" s="70">
        <f>Analysis!H2</f>
        <v>799</v>
      </c>
      <c r="L8" s="68"/>
      <c r="M8" s="38"/>
      <c r="N8" s="71">
        <f>IFERROR(Analysis!H5,0)</f>
        <v>8431.2485607008839</v>
      </c>
      <c r="O8" s="68"/>
      <c r="P8" s="38"/>
      <c r="Q8" s="72">
        <f>IFERROR(Analysis!K8,0)</f>
        <v>588</v>
      </c>
      <c r="R8" s="68"/>
      <c r="S8" s="39"/>
    </row>
    <row r="9" spans="1:19" s="18" customFormat="1" ht="16" customHeight="1" x14ac:dyDescent="0.35">
      <c r="A9" s="37"/>
      <c r="B9" s="20"/>
      <c r="C9" s="20"/>
      <c r="D9" s="20"/>
      <c r="E9" s="20"/>
      <c r="F9" s="20"/>
      <c r="G9" s="20"/>
      <c r="H9" s="20"/>
      <c r="I9" s="20"/>
      <c r="J9" s="20"/>
      <c r="K9" s="20"/>
      <c r="L9" s="20"/>
      <c r="M9" s="20"/>
      <c r="N9" s="20"/>
      <c r="O9" s="20"/>
      <c r="P9" s="20"/>
      <c r="Q9" s="20"/>
      <c r="R9" s="20"/>
      <c r="S9" s="36"/>
    </row>
    <row r="10" spans="1:19" x14ac:dyDescent="0.35">
      <c r="A10" s="35"/>
      <c r="B10" s="20"/>
      <c r="C10" s="20"/>
      <c r="D10" s="20"/>
      <c r="E10" s="20"/>
      <c r="F10" s="20"/>
      <c r="G10" s="20"/>
      <c r="H10" s="20"/>
      <c r="I10" s="20"/>
      <c r="J10" s="20"/>
      <c r="K10" s="20"/>
      <c r="L10" s="20"/>
      <c r="M10" s="20"/>
      <c r="N10" s="20"/>
      <c r="O10" s="20"/>
      <c r="P10" s="20"/>
      <c r="Q10" s="20"/>
      <c r="R10" s="20"/>
      <c r="S10" s="36"/>
    </row>
    <row r="11" spans="1:19" x14ac:dyDescent="0.35">
      <c r="A11" s="35"/>
      <c r="B11" s="40" t="s">
        <v>1264</v>
      </c>
      <c r="C11" s="20"/>
      <c r="D11" s="20"/>
      <c r="E11" s="41"/>
      <c r="F11" s="20"/>
      <c r="G11" s="20"/>
      <c r="H11" s="20"/>
      <c r="I11" s="20"/>
      <c r="J11" s="20"/>
      <c r="K11" s="20"/>
      <c r="L11" s="20"/>
      <c r="M11" s="20"/>
      <c r="N11" s="20"/>
      <c r="O11" s="20"/>
      <c r="P11" s="20"/>
      <c r="Q11" s="20"/>
      <c r="R11" s="20"/>
      <c r="S11" s="36"/>
    </row>
    <row r="12" spans="1:19" x14ac:dyDescent="0.35">
      <c r="A12" s="35"/>
      <c r="B12" s="20"/>
      <c r="C12" s="20"/>
      <c r="D12" s="20"/>
      <c r="E12" s="20"/>
      <c r="F12" s="20"/>
      <c r="G12" s="20"/>
      <c r="H12" s="20"/>
      <c r="I12" s="20"/>
      <c r="J12" s="20"/>
      <c r="K12" s="20"/>
      <c r="L12" s="20"/>
      <c r="M12" s="20"/>
      <c r="N12" s="20"/>
      <c r="O12" s="20"/>
      <c r="P12" s="20"/>
      <c r="Q12" s="20"/>
      <c r="R12" s="20"/>
      <c r="S12" s="36"/>
    </row>
    <row r="13" spans="1:19" x14ac:dyDescent="0.35">
      <c r="A13" s="35"/>
      <c r="B13" s="20"/>
      <c r="C13" s="20"/>
      <c r="D13" s="20"/>
      <c r="E13" s="20"/>
      <c r="F13" s="20"/>
      <c r="G13" s="20"/>
      <c r="H13" s="20"/>
      <c r="I13" s="20"/>
      <c r="J13" s="20"/>
      <c r="K13" s="20"/>
      <c r="L13" s="20"/>
      <c r="M13" s="20"/>
      <c r="N13" s="20"/>
      <c r="O13" s="20"/>
      <c r="P13" s="20"/>
      <c r="Q13" s="20"/>
      <c r="R13" s="20"/>
      <c r="S13" s="36"/>
    </row>
    <row r="14" spans="1:19" x14ac:dyDescent="0.35">
      <c r="A14" s="35"/>
      <c r="B14" s="20"/>
      <c r="C14" s="20"/>
      <c r="D14" s="20"/>
      <c r="E14" s="20"/>
      <c r="F14" s="20"/>
      <c r="G14" s="20"/>
      <c r="H14" s="20"/>
      <c r="I14" s="20"/>
      <c r="J14" s="20"/>
      <c r="K14" s="20"/>
      <c r="L14" s="20"/>
      <c r="M14" s="20"/>
      <c r="N14" s="20"/>
      <c r="O14" s="20"/>
      <c r="P14" s="20"/>
      <c r="Q14" s="20"/>
      <c r="R14" s="20"/>
      <c r="S14" s="36"/>
    </row>
    <row r="15" spans="1:19" x14ac:dyDescent="0.35">
      <c r="A15" s="35"/>
      <c r="B15" s="20"/>
      <c r="C15" s="20"/>
      <c r="D15" s="20"/>
      <c r="E15" s="20"/>
      <c r="F15" s="20"/>
      <c r="G15" s="20"/>
      <c r="H15" s="20"/>
      <c r="I15" s="20"/>
      <c r="J15" s="20"/>
      <c r="K15" s="20"/>
      <c r="L15" s="20"/>
      <c r="M15" s="20"/>
      <c r="N15" s="20"/>
      <c r="O15" s="20"/>
      <c r="P15" s="20"/>
      <c r="Q15" s="20"/>
      <c r="R15" s="20"/>
      <c r="S15" s="36"/>
    </row>
    <row r="16" spans="1:19" x14ac:dyDescent="0.35">
      <c r="A16" s="35"/>
      <c r="B16" s="20"/>
      <c r="C16" s="20"/>
      <c r="D16" s="20"/>
      <c r="E16" s="20"/>
      <c r="F16" s="20"/>
      <c r="G16" s="20"/>
      <c r="H16" s="20"/>
      <c r="I16" s="20"/>
      <c r="J16" s="20"/>
      <c r="K16" s="20"/>
      <c r="L16" s="20"/>
      <c r="M16" s="20"/>
      <c r="N16" s="20"/>
      <c r="O16" s="20"/>
      <c r="P16" s="20"/>
      <c r="Q16" s="20"/>
      <c r="R16" s="20"/>
      <c r="S16" s="36"/>
    </row>
    <row r="17" spans="1:19" x14ac:dyDescent="0.35">
      <c r="A17" s="35"/>
      <c r="B17" s="20"/>
      <c r="C17" s="20"/>
      <c r="D17" s="20"/>
      <c r="E17" s="20"/>
      <c r="F17" s="20"/>
      <c r="G17" s="20"/>
      <c r="H17" s="20"/>
      <c r="I17" s="20"/>
      <c r="J17" s="20"/>
      <c r="K17" s="20"/>
      <c r="L17" s="20"/>
      <c r="M17" s="20"/>
      <c r="N17" s="20"/>
      <c r="O17" s="20"/>
      <c r="P17" s="20"/>
      <c r="Q17" s="20"/>
      <c r="R17" s="20"/>
      <c r="S17" s="36"/>
    </row>
    <row r="18" spans="1:19" x14ac:dyDescent="0.35">
      <c r="A18" s="35"/>
      <c r="B18" s="20"/>
      <c r="C18" s="20"/>
      <c r="D18" s="20"/>
      <c r="E18" s="20"/>
      <c r="F18" s="20"/>
      <c r="G18" s="20"/>
      <c r="H18" s="20"/>
      <c r="I18" s="20"/>
      <c r="J18" s="20"/>
      <c r="K18" s="20"/>
      <c r="L18" s="20"/>
      <c r="M18" s="20"/>
      <c r="N18" s="20"/>
      <c r="O18" s="20"/>
      <c r="P18" s="20"/>
      <c r="Q18" s="20"/>
      <c r="R18" s="20"/>
      <c r="S18" s="36"/>
    </row>
    <row r="19" spans="1:19" x14ac:dyDescent="0.35">
      <c r="A19" s="35"/>
      <c r="B19" s="20"/>
      <c r="C19" s="20"/>
      <c r="D19" s="20"/>
      <c r="E19" s="20"/>
      <c r="F19" s="20"/>
      <c r="G19" s="20"/>
      <c r="H19" s="20"/>
      <c r="I19" s="20"/>
      <c r="J19" s="20"/>
      <c r="K19" s="20"/>
      <c r="L19" s="20"/>
      <c r="M19" s="20"/>
      <c r="N19" s="20"/>
      <c r="O19" s="20"/>
      <c r="P19" s="20"/>
      <c r="Q19" s="20"/>
      <c r="R19" s="20"/>
      <c r="S19" s="36"/>
    </row>
    <row r="20" spans="1:19" x14ac:dyDescent="0.35">
      <c r="A20" s="35"/>
      <c r="B20" s="20"/>
      <c r="C20" s="20"/>
      <c r="D20" s="20"/>
      <c r="E20" s="20"/>
      <c r="F20" s="20"/>
      <c r="G20" s="20"/>
      <c r="H20" s="20"/>
      <c r="I20" s="20"/>
      <c r="J20" s="20"/>
      <c r="K20" s="20"/>
      <c r="L20" s="20"/>
      <c r="M20" s="20"/>
      <c r="N20" s="20"/>
      <c r="O20" s="20"/>
      <c r="P20" s="20"/>
      <c r="Q20" s="20"/>
      <c r="R20" s="20"/>
      <c r="S20" s="36"/>
    </row>
    <row r="21" spans="1:19" x14ac:dyDescent="0.35">
      <c r="A21" s="35"/>
      <c r="B21" s="20"/>
      <c r="C21" s="20"/>
      <c r="D21" s="20"/>
      <c r="E21" s="20"/>
      <c r="F21" s="20"/>
      <c r="G21" s="20"/>
      <c r="H21" s="20"/>
      <c r="I21" s="20"/>
      <c r="J21" s="20"/>
      <c r="K21" s="20"/>
      <c r="L21" s="20"/>
      <c r="M21" s="20"/>
      <c r="N21" s="20"/>
      <c r="O21" s="20"/>
      <c r="P21" s="20"/>
      <c r="Q21" s="20"/>
      <c r="R21" s="20"/>
      <c r="S21" s="36"/>
    </row>
    <row r="22" spans="1:19" x14ac:dyDescent="0.35">
      <c r="A22" s="35"/>
      <c r="B22" s="20"/>
      <c r="C22" s="20"/>
      <c r="D22" s="20"/>
      <c r="E22" s="20"/>
      <c r="F22" s="20"/>
      <c r="G22" s="20"/>
      <c r="H22" s="20"/>
      <c r="I22" s="20"/>
      <c r="J22" s="20"/>
      <c r="K22" s="20"/>
      <c r="L22" s="20"/>
      <c r="M22" s="20"/>
      <c r="N22" s="20"/>
      <c r="O22" s="20"/>
      <c r="P22" s="20"/>
      <c r="Q22" s="20"/>
      <c r="R22" s="20"/>
      <c r="S22" s="36"/>
    </row>
    <row r="23" spans="1:19" x14ac:dyDescent="0.35">
      <c r="A23" s="35"/>
      <c r="B23" s="20"/>
      <c r="C23" s="20"/>
      <c r="D23" s="20"/>
      <c r="E23" s="20"/>
      <c r="F23" s="20"/>
      <c r="G23" s="20"/>
      <c r="H23" s="20"/>
      <c r="I23" s="20"/>
      <c r="J23" s="20"/>
      <c r="K23" s="20"/>
      <c r="L23" s="20"/>
      <c r="M23" s="20"/>
      <c r="N23" s="20"/>
      <c r="O23" s="20"/>
      <c r="P23" s="20"/>
      <c r="Q23" s="20"/>
      <c r="R23" s="20"/>
      <c r="S23" s="36"/>
    </row>
    <row r="24" spans="1:19" x14ac:dyDescent="0.35">
      <c r="A24" s="35"/>
      <c r="B24" s="20"/>
      <c r="C24" s="20"/>
      <c r="D24" s="20"/>
      <c r="E24" s="20"/>
      <c r="F24" s="20"/>
      <c r="G24" s="20"/>
      <c r="H24" s="20"/>
      <c r="I24" s="20"/>
      <c r="J24" s="20"/>
      <c r="K24" s="20"/>
      <c r="L24" s="20"/>
      <c r="M24" s="20"/>
      <c r="N24" s="20"/>
      <c r="O24" s="20"/>
      <c r="P24" s="20"/>
      <c r="Q24" s="20"/>
      <c r="R24" s="20"/>
      <c r="S24" s="36"/>
    </row>
    <row r="25" spans="1:19" x14ac:dyDescent="0.35">
      <c r="A25" s="35"/>
      <c r="B25" s="20"/>
      <c r="C25" s="20"/>
      <c r="D25" s="20"/>
      <c r="E25" s="20"/>
      <c r="F25" s="20"/>
      <c r="G25" s="20"/>
      <c r="H25" s="20"/>
      <c r="I25" s="20"/>
      <c r="J25" s="20"/>
      <c r="K25" s="20"/>
      <c r="L25" s="20"/>
      <c r="M25" s="20"/>
      <c r="N25" s="20"/>
      <c r="O25" s="20"/>
      <c r="P25" s="20"/>
      <c r="Q25" s="20"/>
      <c r="R25" s="20"/>
      <c r="S25" s="36"/>
    </row>
    <row r="26" spans="1:19" x14ac:dyDescent="0.35">
      <c r="A26" s="35"/>
      <c r="B26" s="20"/>
      <c r="C26" s="20"/>
      <c r="D26" s="20"/>
      <c r="E26" s="20"/>
      <c r="F26" s="20"/>
      <c r="G26" s="20"/>
      <c r="H26" s="20"/>
      <c r="I26" s="20"/>
      <c r="J26" s="20"/>
      <c r="K26" s="20"/>
      <c r="L26" s="20"/>
      <c r="M26" s="20"/>
      <c r="N26" s="20"/>
      <c r="O26" s="20"/>
      <c r="P26" s="20"/>
      <c r="Q26" s="20"/>
      <c r="R26" s="20"/>
      <c r="S26" s="36"/>
    </row>
    <row r="27" spans="1:19" x14ac:dyDescent="0.35">
      <c r="A27" s="35"/>
      <c r="B27" s="20"/>
      <c r="C27" s="20"/>
      <c r="D27" s="20"/>
      <c r="E27" s="20"/>
      <c r="F27" s="20"/>
      <c r="G27" s="20"/>
      <c r="H27" s="20"/>
      <c r="I27" s="20"/>
      <c r="J27" s="20"/>
      <c r="K27" s="20"/>
      <c r="L27" s="20"/>
      <c r="M27" s="20"/>
      <c r="N27" s="20"/>
      <c r="O27" s="20"/>
      <c r="P27" s="20"/>
      <c r="Q27" s="20"/>
      <c r="R27" s="20"/>
      <c r="S27" s="36"/>
    </row>
    <row r="28" spans="1:19" x14ac:dyDescent="0.35">
      <c r="A28" s="35"/>
      <c r="B28" s="20"/>
      <c r="C28" s="20"/>
      <c r="D28" s="20"/>
      <c r="E28" s="20"/>
      <c r="F28" s="20"/>
      <c r="G28" s="20"/>
      <c r="H28" s="20"/>
      <c r="I28" s="20"/>
      <c r="J28" s="20"/>
      <c r="K28" s="20"/>
      <c r="L28" s="20"/>
      <c r="M28" s="20"/>
      <c r="N28" s="20"/>
      <c r="O28" s="20"/>
      <c r="P28" s="20"/>
      <c r="Q28" s="20"/>
      <c r="R28" s="20"/>
      <c r="S28" s="36"/>
    </row>
    <row r="29" spans="1:19" x14ac:dyDescent="0.35">
      <c r="A29" s="35"/>
      <c r="B29" s="20"/>
      <c r="C29" s="20"/>
      <c r="D29" s="20"/>
      <c r="E29" s="20"/>
      <c r="F29" s="20"/>
      <c r="G29" s="20"/>
      <c r="H29" s="20"/>
      <c r="I29" s="20"/>
      <c r="J29" s="20"/>
      <c r="K29" s="20"/>
      <c r="L29" s="20"/>
      <c r="M29" s="20"/>
      <c r="N29" s="20"/>
      <c r="O29" s="20"/>
      <c r="P29" s="20"/>
      <c r="Q29" s="20"/>
      <c r="R29" s="20"/>
      <c r="S29" s="36"/>
    </row>
    <row r="30" spans="1:19" x14ac:dyDescent="0.35">
      <c r="A30" s="35"/>
      <c r="B30" s="20"/>
      <c r="C30" s="20"/>
      <c r="D30" s="20"/>
      <c r="E30" s="20"/>
      <c r="F30" s="20"/>
      <c r="G30" s="20"/>
      <c r="H30" s="20"/>
      <c r="I30" s="20"/>
      <c r="J30" s="20"/>
      <c r="K30" s="20"/>
      <c r="L30" s="20"/>
      <c r="M30" s="20"/>
      <c r="N30" s="20"/>
      <c r="O30" s="20"/>
      <c r="P30" s="20"/>
      <c r="Q30" s="20"/>
      <c r="R30" s="20"/>
      <c r="S30" s="36"/>
    </row>
    <row r="31" spans="1:19" x14ac:dyDescent="0.35">
      <c r="A31" s="35"/>
      <c r="B31" s="20"/>
      <c r="C31" s="20"/>
      <c r="D31" s="20"/>
      <c r="E31" s="20"/>
      <c r="F31" s="20"/>
      <c r="G31" s="20"/>
      <c r="H31" s="20"/>
      <c r="I31" s="20"/>
      <c r="J31" s="20"/>
      <c r="K31" s="20"/>
      <c r="L31" s="20"/>
      <c r="M31" s="20"/>
      <c r="N31" s="20"/>
      <c r="O31" s="20"/>
      <c r="P31" s="20"/>
      <c r="Q31" s="20"/>
      <c r="R31" s="20"/>
      <c r="S31" s="36"/>
    </row>
    <row r="32" spans="1:19" x14ac:dyDescent="0.35">
      <c r="A32" s="35"/>
      <c r="B32" s="20"/>
      <c r="C32" s="20"/>
      <c r="D32" s="20"/>
      <c r="E32" s="20"/>
      <c r="F32" s="20"/>
      <c r="G32" s="20"/>
      <c r="H32" s="20"/>
      <c r="I32" s="20"/>
      <c r="J32" s="20"/>
      <c r="K32" s="20"/>
      <c r="L32" s="20"/>
      <c r="M32" s="20"/>
      <c r="N32" s="20"/>
      <c r="O32" s="20"/>
      <c r="P32" s="20"/>
      <c r="Q32" s="20"/>
      <c r="R32" s="20"/>
      <c r="S32" s="36"/>
    </row>
    <row r="33" spans="1:19" x14ac:dyDescent="0.35">
      <c r="A33" s="35"/>
      <c r="B33" s="20"/>
      <c r="C33" s="20"/>
      <c r="D33" s="20"/>
      <c r="E33" s="20"/>
      <c r="F33" s="20"/>
      <c r="G33" s="20"/>
      <c r="H33" s="20"/>
      <c r="I33" s="20"/>
      <c r="J33" s="20"/>
      <c r="K33" s="20"/>
      <c r="L33" s="20"/>
      <c r="M33" s="20"/>
      <c r="N33" s="20"/>
      <c r="O33" s="20"/>
      <c r="P33" s="20"/>
      <c r="Q33" s="20"/>
      <c r="R33" s="20"/>
      <c r="S33" s="36"/>
    </row>
    <row r="34" spans="1:19" x14ac:dyDescent="0.35">
      <c r="A34" s="35"/>
      <c r="B34" s="20"/>
      <c r="C34" s="20"/>
      <c r="D34" s="20"/>
      <c r="E34" s="20"/>
      <c r="F34" s="20"/>
      <c r="G34" s="20"/>
      <c r="H34" s="20"/>
      <c r="I34" s="20"/>
      <c r="J34" s="20"/>
      <c r="K34" s="20"/>
      <c r="L34" s="20"/>
      <c r="M34" s="20"/>
      <c r="N34" s="20"/>
      <c r="O34" s="20"/>
      <c r="P34" s="20"/>
      <c r="Q34" s="20"/>
      <c r="R34" s="20"/>
      <c r="S34" s="36"/>
    </row>
    <row r="35" spans="1:19" x14ac:dyDescent="0.35">
      <c r="A35" s="35"/>
      <c r="B35" s="20"/>
      <c r="C35" s="20"/>
      <c r="D35" s="20"/>
      <c r="E35" s="20"/>
      <c r="F35" s="20"/>
      <c r="G35" s="20"/>
      <c r="H35" s="20"/>
      <c r="I35" s="20"/>
      <c r="J35" s="20"/>
      <c r="K35" s="20"/>
      <c r="L35" s="20"/>
      <c r="M35" s="20"/>
      <c r="N35" s="20"/>
      <c r="O35" s="20"/>
      <c r="P35" s="20"/>
      <c r="Q35" s="20"/>
      <c r="R35" s="20"/>
      <c r="S35" s="36"/>
    </row>
    <row r="36" spans="1:19" x14ac:dyDescent="0.35">
      <c r="A36" s="35"/>
      <c r="B36" s="20"/>
      <c r="C36" s="20"/>
      <c r="D36" s="20"/>
      <c r="E36" s="20"/>
      <c r="F36" s="20"/>
      <c r="G36" s="20"/>
      <c r="H36" s="20"/>
      <c r="I36" s="20"/>
      <c r="J36" s="20"/>
      <c r="K36" s="20"/>
      <c r="L36" s="20"/>
      <c r="M36" s="20"/>
      <c r="N36" s="20"/>
      <c r="O36" s="20"/>
      <c r="P36" s="20"/>
      <c r="Q36" s="20"/>
      <c r="R36" s="20"/>
      <c r="S36" s="36"/>
    </row>
    <row r="37" spans="1:19" x14ac:dyDescent="0.35">
      <c r="A37" s="35"/>
      <c r="B37" s="20"/>
      <c r="C37" s="20"/>
      <c r="D37" s="20"/>
      <c r="E37" s="20"/>
      <c r="F37" s="20"/>
      <c r="G37" s="20"/>
      <c r="H37" s="20"/>
      <c r="I37" s="20"/>
      <c r="J37" s="20"/>
      <c r="K37" s="20"/>
      <c r="L37" s="20"/>
      <c r="M37" s="20"/>
      <c r="N37" s="20"/>
      <c r="O37" s="20"/>
      <c r="P37" s="20"/>
      <c r="Q37" s="20"/>
      <c r="R37" s="20"/>
      <c r="S37" s="36"/>
    </row>
    <row r="38" spans="1:19" x14ac:dyDescent="0.35">
      <c r="A38" s="35"/>
      <c r="B38" s="20"/>
      <c r="C38" s="20"/>
      <c r="D38" s="20"/>
      <c r="E38" s="20"/>
      <c r="F38" s="20"/>
      <c r="G38" s="20"/>
      <c r="H38" s="20"/>
      <c r="I38" s="20"/>
      <c r="J38" s="20"/>
      <c r="K38" s="20"/>
      <c r="L38" s="20"/>
      <c r="M38" s="20"/>
      <c r="N38" s="20"/>
      <c r="O38" s="20"/>
      <c r="P38" s="20"/>
      <c r="Q38" s="20"/>
      <c r="R38" s="20"/>
      <c r="S38" s="36"/>
    </row>
    <row r="39" spans="1:19" x14ac:dyDescent="0.35">
      <c r="A39" s="35"/>
      <c r="B39" s="20"/>
      <c r="C39" s="20"/>
      <c r="D39" s="20"/>
      <c r="E39" s="20"/>
      <c r="F39" s="20"/>
      <c r="G39" s="20"/>
      <c r="H39" s="20"/>
      <c r="I39" s="20"/>
      <c r="J39" s="20"/>
      <c r="K39" s="20"/>
      <c r="L39" s="20"/>
      <c r="M39" s="20"/>
      <c r="N39" s="20"/>
      <c r="O39" s="20"/>
      <c r="P39" s="20"/>
      <c r="Q39" s="20"/>
      <c r="R39" s="20"/>
      <c r="S39" s="36"/>
    </row>
    <row r="40" spans="1:19" x14ac:dyDescent="0.35">
      <c r="A40" s="35"/>
      <c r="B40" s="20"/>
      <c r="C40" s="20"/>
      <c r="D40" s="20"/>
      <c r="E40" s="20"/>
      <c r="F40" s="20"/>
      <c r="G40" s="20"/>
      <c r="H40" s="20"/>
      <c r="I40" s="20"/>
      <c r="J40" s="20"/>
      <c r="K40" s="20"/>
      <c r="L40" s="20"/>
      <c r="M40" s="20"/>
      <c r="N40" s="20"/>
      <c r="O40" s="20"/>
      <c r="P40" s="20"/>
      <c r="Q40" s="20"/>
      <c r="R40" s="20"/>
      <c r="S40" s="36"/>
    </row>
    <row r="41" spans="1:19" x14ac:dyDescent="0.35">
      <c r="A41" s="35"/>
      <c r="B41" s="20"/>
      <c r="C41" s="20"/>
      <c r="D41" s="20"/>
      <c r="E41" s="20"/>
      <c r="F41" s="20"/>
      <c r="G41" s="20"/>
      <c r="H41" s="20"/>
      <c r="I41" s="20"/>
      <c r="J41" s="20"/>
      <c r="K41" s="20"/>
      <c r="L41" s="20"/>
      <c r="M41" s="20"/>
      <c r="N41" s="20"/>
      <c r="O41" s="20"/>
      <c r="P41" s="20"/>
      <c r="Q41" s="20"/>
      <c r="R41" s="20"/>
      <c r="S41" s="36"/>
    </row>
    <row r="42" spans="1:19" x14ac:dyDescent="0.35">
      <c r="A42" s="35"/>
      <c r="B42" s="20"/>
      <c r="C42" s="20"/>
      <c r="D42" s="20"/>
      <c r="E42" s="20"/>
      <c r="F42" s="20"/>
      <c r="G42" s="20"/>
      <c r="H42" s="20"/>
      <c r="I42" s="20"/>
      <c r="J42" s="20"/>
      <c r="K42" s="20"/>
      <c r="L42" s="20"/>
      <c r="M42" s="20"/>
      <c r="N42" s="20"/>
      <c r="O42" s="20"/>
      <c r="P42" s="20"/>
      <c r="Q42" s="20"/>
      <c r="R42" s="20"/>
      <c r="S42" s="36"/>
    </row>
    <row r="43" spans="1:19" x14ac:dyDescent="0.35">
      <c r="A43" s="35"/>
      <c r="B43" s="20"/>
      <c r="C43" s="20"/>
      <c r="D43" s="20"/>
      <c r="E43" s="20"/>
      <c r="F43" s="20"/>
      <c r="G43" s="20"/>
      <c r="H43" s="20"/>
      <c r="I43" s="20"/>
      <c r="J43" s="20"/>
      <c r="K43" s="20"/>
      <c r="L43" s="20"/>
      <c r="M43" s="20"/>
      <c r="N43" s="20"/>
      <c r="O43" s="20"/>
      <c r="P43" s="20"/>
      <c r="Q43" s="20"/>
      <c r="R43" s="20"/>
      <c r="S43" s="36"/>
    </row>
    <row r="44" spans="1:19" x14ac:dyDescent="0.35">
      <c r="A44" s="35"/>
      <c r="B44" s="20"/>
      <c r="C44" s="20"/>
      <c r="D44" s="20"/>
      <c r="E44" s="20"/>
      <c r="F44" s="20"/>
      <c r="G44" s="20"/>
      <c r="H44" s="20"/>
      <c r="I44" s="20"/>
      <c r="J44" s="20"/>
      <c r="K44" s="20"/>
      <c r="L44" s="20"/>
      <c r="M44" s="20"/>
      <c r="N44" s="20"/>
      <c r="O44" s="20"/>
      <c r="P44" s="20"/>
      <c r="Q44" s="20"/>
      <c r="R44" s="20"/>
      <c r="S44" s="36"/>
    </row>
    <row r="45" spans="1:19" x14ac:dyDescent="0.35">
      <c r="A45" s="35"/>
      <c r="B45" s="20"/>
      <c r="C45" s="20"/>
      <c r="D45" s="20"/>
      <c r="E45" s="20"/>
      <c r="F45" s="20"/>
      <c r="G45" s="20"/>
      <c r="H45" s="20"/>
      <c r="I45" s="20"/>
      <c r="J45" s="20"/>
      <c r="K45" s="20"/>
      <c r="L45" s="20"/>
      <c r="M45" s="20"/>
      <c r="N45" s="20"/>
      <c r="O45" s="20"/>
      <c r="P45" s="20"/>
      <c r="Q45" s="20"/>
      <c r="R45" s="20"/>
      <c r="S45" s="36"/>
    </row>
    <row r="46" spans="1:19" x14ac:dyDescent="0.35">
      <c r="A46" s="35"/>
      <c r="B46" s="20"/>
      <c r="C46" s="20"/>
      <c r="D46" s="20"/>
      <c r="E46" s="20"/>
      <c r="F46" s="20"/>
      <c r="G46" s="20"/>
      <c r="H46" s="20"/>
      <c r="I46" s="20"/>
      <c r="J46" s="20"/>
      <c r="K46" s="20"/>
      <c r="L46" s="20"/>
      <c r="M46" s="20"/>
      <c r="N46" s="20"/>
      <c r="O46" s="20"/>
      <c r="P46" s="20"/>
      <c r="Q46" s="20"/>
      <c r="R46" s="20"/>
      <c r="S46" s="36"/>
    </row>
    <row r="47" spans="1:19" x14ac:dyDescent="0.35">
      <c r="A47" s="35"/>
      <c r="B47" s="20"/>
      <c r="C47" s="20"/>
      <c r="D47" s="20"/>
      <c r="E47" s="20"/>
      <c r="F47" s="20"/>
      <c r="G47" s="20"/>
      <c r="H47" s="20"/>
      <c r="I47" s="20"/>
      <c r="J47" s="20"/>
      <c r="K47" s="20"/>
      <c r="L47" s="20"/>
      <c r="M47" s="20"/>
      <c r="N47" s="20"/>
      <c r="O47" s="20"/>
      <c r="P47" s="20"/>
      <c r="Q47" s="20"/>
      <c r="R47" s="20"/>
      <c r="S47" s="36"/>
    </row>
    <row r="48" spans="1:19" x14ac:dyDescent="0.35">
      <c r="A48" s="35"/>
      <c r="B48" s="20"/>
      <c r="C48" s="20"/>
      <c r="D48" s="20"/>
      <c r="E48" s="20"/>
      <c r="F48" s="20"/>
      <c r="G48" s="20"/>
      <c r="H48" s="20"/>
      <c r="I48" s="20"/>
      <c r="J48" s="20"/>
      <c r="K48" s="20"/>
      <c r="L48" s="20"/>
      <c r="M48" s="20"/>
      <c r="N48" s="20"/>
      <c r="O48" s="20"/>
      <c r="P48" s="20"/>
      <c r="Q48" s="20"/>
      <c r="R48" s="20"/>
      <c r="S48" s="36"/>
    </row>
    <row r="49" spans="1:19" x14ac:dyDescent="0.35">
      <c r="A49" s="35"/>
      <c r="B49" s="20"/>
      <c r="C49" s="20"/>
      <c r="D49" s="20"/>
      <c r="E49" s="20"/>
      <c r="F49" s="20"/>
      <c r="G49" s="20"/>
      <c r="H49" s="20"/>
      <c r="I49" s="20"/>
      <c r="J49" s="20"/>
      <c r="K49" s="20"/>
      <c r="L49" s="20"/>
      <c r="M49" s="20"/>
      <c r="N49" s="20"/>
      <c r="O49" s="20"/>
      <c r="P49" s="20"/>
      <c r="Q49" s="20"/>
      <c r="R49" s="20"/>
      <c r="S49" s="36"/>
    </row>
    <row r="50" spans="1:19" x14ac:dyDescent="0.35">
      <c r="A50" s="35"/>
      <c r="B50" s="20"/>
      <c r="C50" s="20"/>
      <c r="D50" s="20"/>
      <c r="E50" s="20"/>
      <c r="F50" s="20"/>
      <c r="G50" s="20"/>
      <c r="H50" s="20"/>
      <c r="I50" s="20"/>
      <c r="J50" s="20"/>
      <c r="K50" s="20"/>
      <c r="L50" s="20"/>
      <c r="M50" s="20"/>
      <c r="N50" s="20"/>
      <c r="O50" s="20"/>
      <c r="P50" s="20"/>
      <c r="Q50" s="20"/>
      <c r="R50" s="20"/>
      <c r="S50" s="36"/>
    </row>
    <row r="51" spans="1:19" x14ac:dyDescent="0.35">
      <c r="A51" s="35"/>
      <c r="B51" s="20"/>
      <c r="C51" s="20"/>
      <c r="D51" s="20"/>
      <c r="E51" s="20"/>
      <c r="F51" s="20"/>
      <c r="G51" s="20"/>
      <c r="H51" s="20"/>
      <c r="I51" s="20"/>
      <c r="J51" s="20"/>
      <c r="K51" s="20"/>
      <c r="L51" s="20"/>
      <c r="M51" s="20"/>
      <c r="N51" s="20"/>
      <c r="O51" s="20"/>
      <c r="P51" s="20"/>
      <c r="Q51" s="20"/>
      <c r="R51" s="20"/>
      <c r="S51" s="36"/>
    </row>
    <row r="52" spans="1:19" x14ac:dyDescent="0.35">
      <c r="A52" s="35"/>
      <c r="B52" s="20"/>
      <c r="C52" s="20"/>
      <c r="D52" s="20"/>
      <c r="E52" s="20"/>
      <c r="F52" s="20"/>
      <c r="G52" s="20"/>
      <c r="H52" s="20"/>
      <c r="I52" s="20"/>
      <c r="J52" s="20"/>
      <c r="K52" s="20"/>
      <c r="L52" s="20"/>
      <c r="M52" s="20"/>
      <c r="N52" s="20"/>
      <c r="O52" s="20"/>
      <c r="P52" s="20"/>
      <c r="Q52" s="20"/>
      <c r="R52" s="20"/>
      <c r="S52" s="36"/>
    </row>
    <row r="53" spans="1:19" x14ac:dyDescent="0.35">
      <c r="A53" s="35"/>
      <c r="B53" s="20"/>
      <c r="C53" s="20"/>
      <c r="D53" s="20"/>
      <c r="E53" s="20"/>
      <c r="F53" s="20"/>
      <c r="G53" s="20"/>
      <c r="H53" s="20"/>
      <c r="I53" s="20"/>
      <c r="J53" s="20"/>
      <c r="K53" s="20"/>
      <c r="L53" s="20"/>
      <c r="M53" s="20"/>
      <c r="N53" s="20"/>
      <c r="O53" s="20"/>
      <c r="P53" s="20"/>
      <c r="Q53" s="20"/>
      <c r="R53" s="20"/>
      <c r="S53" s="36"/>
    </row>
    <row r="54" spans="1:19" x14ac:dyDescent="0.35">
      <c r="A54" s="35"/>
      <c r="B54" s="20"/>
      <c r="C54" s="20"/>
      <c r="D54" s="20"/>
      <c r="E54" s="20"/>
      <c r="F54" s="20"/>
      <c r="G54" s="20"/>
      <c r="H54" s="20"/>
      <c r="I54" s="20"/>
      <c r="J54" s="20"/>
      <c r="K54" s="20"/>
      <c r="L54" s="20"/>
      <c r="M54" s="20"/>
      <c r="N54" s="20"/>
      <c r="O54" s="20"/>
      <c r="P54" s="20"/>
      <c r="Q54" s="20"/>
      <c r="R54" s="20"/>
      <c r="S54" s="36"/>
    </row>
    <row r="55" spans="1:19" x14ac:dyDescent="0.35">
      <c r="A55" s="35"/>
      <c r="B55" s="20"/>
      <c r="C55" s="20"/>
      <c r="D55" s="20"/>
      <c r="E55" s="20"/>
      <c r="F55" s="20"/>
      <c r="G55" s="20"/>
      <c r="H55" s="20"/>
      <c r="I55" s="20"/>
      <c r="J55" s="20"/>
      <c r="K55" s="20"/>
      <c r="L55" s="20"/>
      <c r="M55" s="20"/>
      <c r="N55" s="20"/>
      <c r="O55" s="20"/>
      <c r="P55" s="20"/>
      <c r="Q55" s="20"/>
      <c r="R55" s="20"/>
      <c r="S55" s="36"/>
    </row>
    <row r="56" spans="1:19" x14ac:dyDescent="0.35">
      <c r="A56" s="35"/>
      <c r="B56" s="20"/>
      <c r="C56" s="20"/>
      <c r="D56" s="20"/>
      <c r="E56" s="20"/>
      <c r="F56" s="20"/>
      <c r="G56" s="20"/>
      <c r="H56" s="20"/>
      <c r="I56" s="20"/>
      <c r="J56" s="20"/>
      <c r="K56" s="20"/>
      <c r="L56" s="20"/>
      <c r="M56" s="20"/>
      <c r="N56" s="20"/>
      <c r="O56" s="20"/>
      <c r="P56" s="20"/>
      <c r="Q56" s="20"/>
      <c r="R56" s="20"/>
      <c r="S56" s="36"/>
    </row>
    <row r="57" spans="1:19" x14ac:dyDescent="0.35">
      <c r="A57" s="35"/>
      <c r="B57" s="20"/>
      <c r="C57" s="20"/>
      <c r="D57" s="20"/>
      <c r="E57" s="20"/>
      <c r="F57" s="20"/>
      <c r="G57" s="20"/>
      <c r="H57" s="20"/>
      <c r="I57" s="20"/>
      <c r="J57" s="20"/>
      <c r="K57" s="20"/>
      <c r="L57" s="20"/>
      <c r="M57" s="20"/>
      <c r="N57" s="20"/>
      <c r="O57" s="20"/>
      <c r="P57" s="20"/>
      <c r="Q57" s="20"/>
      <c r="R57" s="20"/>
      <c r="S57" s="36"/>
    </row>
    <row r="58" spans="1:19" x14ac:dyDescent="0.35">
      <c r="A58" s="35"/>
      <c r="B58" s="20"/>
      <c r="C58" s="20"/>
      <c r="D58" s="20"/>
      <c r="E58" s="20"/>
      <c r="F58" s="20"/>
      <c r="G58" s="20"/>
      <c r="H58" s="20"/>
      <c r="I58" s="20"/>
      <c r="J58" s="20"/>
      <c r="K58" s="20"/>
      <c r="L58" s="20"/>
      <c r="M58" s="20"/>
      <c r="N58" s="20"/>
      <c r="O58" s="20"/>
      <c r="P58" s="20"/>
      <c r="Q58" s="20"/>
      <c r="R58" s="20"/>
      <c r="S58" s="36"/>
    </row>
    <row r="59" spans="1:19" x14ac:dyDescent="0.35">
      <c r="A59" s="35"/>
      <c r="B59" s="20"/>
      <c r="C59" s="20"/>
      <c r="D59" s="20"/>
      <c r="E59" s="20"/>
      <c r="F59" s="20"/>
      <c r="G59" s="20"/>
      <c r="H59" s="20"/>
      <c r="I59" s="20"/>
      <c r="J59" s="20"/>
      <c r="K59" s="20"/>
      <c r="L59" s="20"/>
      <c r="M59" s="20"/>
      <c r="N59" s="20"/>
      <c r="O59" s="20"/>
      <c r="P59" s="20"/>
      <c r="Q59" s="20"/>
      <c r="R59" s="20"/>
      <c r="S59" s="36"/>
    </row>
    <row r="60" spans="1:19" x14ac:dyDescent="0.35">
      <c r="A60" s="35"/>
      <c r="B60" s="20"/>
      <c r="C60" s="20"/>
      <c r="D60" s="20"/>
      <c r="E60" s="20"/>
      <c r="F60" s="20"/>
      <c r="G60" s="20"/>
      <c r="H60" s="20"/>
      <c r="I60" s="20"/>
      <c r="J60" s="20"/>
      <c r="K60" s="20"/>
      <c r="L60" s="20"/>
      <c r="M60" s="20"/>
      <c r="N60" s="20"/>
      <c r="O60" s="20"/>
      <c r="P60" s="20"/>
      <c r="Q60" s="20"/>
      <c r="R60" s="20"/>
      <c r="S60" s="36"/>
    </row>
    <row r="61" spans="1:19" x14ac:dyDescent="0.35">
      <c r="A61" s="35"/>
      <c r="B61" s="20"/>
      <c r="C61" s="20"/>
      <c r="D61" s="20"/>
      <c r="E61" s="20"/>
      <c r="F61" s="20"/>
      <c r="G61" s="20"/>
      <c r="H61" s="20"/>
      <c r="I61" s="20"/>
      <c r="J61" s="20"/>
      <c r="K61" s="20"/>
      <c r="L61" s="20"/>
      <c r="M61" s="20"/>
      <c r="N61" s="20"/>
      <c r="O61" s="20"/>
      <c r="P61" s="20"/>
      <c r="Q61" s="20"/>
      <c r="R61" s="20"/>
      <c r="S61" s="36"/>
    </row>
    <row r="62" spans="1:19" x14ac:dyDescent="0.35">
      <c r="A62" s="35"/>
      <c r="B62" s="20"/>
      <c r="C62" s="20"/>
      <c r="D62" s="20"/>
      <c r="E62" s="20"/>
      <c r="F62" s="20"/>
      <c r="G62" s="20"/>
      <c r="H62" s="20"/>
      <c r="I62" s="20"/>
      <c r="J62" s="20"/>
      <c r="K62" s="20"/>
      <c r="L62" s="20"/>
      <c r="M62" s="20"/>
      <c r="N62" s="20"/>
      <c r="O62" s="20"/>
      <c r="P62" s="20"/>
      <c r="Q62" s="20"/>
      <c r="R62" s="20"/>
      <c r="S62" s="36"/>
    </row>
    <row r="63" spans="1:19" x14ac:dyDescent="0.35">
      <c r="A63" s="35"/>
      <c r="B63" s="20"/>
      <c r="C63" s="20"/>
      <c r="D63" s="20"/>
      <c r="E63" s="20"/>
      <c r="F63" s="20"/>
      <c r="G63" s="20"/>
      <c r="H63" s="20"/>
      <c r="I63" s="20"/>
      <c r="J63" s="20"/>
      <c r="K63" s="20"/>
      <c r="L63" s="20"/>
      <c r="M63" s="20"/>
      <c r="N63" s="20"/>
      <c r="O63" s="20"/>
      <c r="P63" s="20"/>
      <c r="Q63" s="20"/>
      <c r="R63" s="20"/>
      <c r="S63" s="36"/>
    </row>
    <row r="64" spans="1:19" x14ac:dyDescent="0.35">
      <c r="A64" s="35"/>
      <c r="B64" s="20"/>
      <c r="C64" s="20"/>
      <c r="D64" s="20"/>
      <c r="E64" s="20"/>
      <c r="F64" s="20"/>
      <c r="G64" s="20"/>
      <c r="H64" s="20"/>
      <c r="I64" s="20"/>
      <c r="J64" s="20"/>
      <c r="K64" s="20"/>
      <c r="L64" s="20"/>
      <c r="M64" s="20"/>
      <c r="N64" s="20"/>
      <c r="O64" s="20"/>
      <c r="P64" s="20"/>
      <c r="Q64" s="20"/>
      <c r="R64" s="20"/>
      <c r="S64" s="36"/>
    </row>
    <row r="65" spans="1:19" x14ac:dyDescent="0.35">
      <c r="A65" s="35"/>
      <c r="B65" s="20"/>
      <c r="C65" s="20"/>
      <c r="D65" s="20"/>
      <c r="E65" s="20"/>
      <c r="F65" s="20"/>
      <c r="G65" s="20"/>
      <c r="H65" s="20"/>
      <c r="I65" s="20"/>
      <c r="J65" s="20"/>
      <c r="K65" s="20"/>
      <c r="L65" s="20"/>
      <c r="M65" s="20"/>
      <c r="N65" s="20"/>
      <c r="O65" s="20"/>
      <c r="P65" s="20"/>
      <c r="Q65" s="20"/>
      <c r="R65" s="20"/>
      <c r="S65" s="36"/>
    </row>
    <row r="66" spans="1:19" x14ac:dyDescent="0.35">
      <c r="A66" s="35"/>
      <c r="B66" s="20"/>
      <c r="C66" s="20"/>
      <c r="D66" s="20"/>
      <c r="E66" s="20"/>
      <c r="F66" s="20"/>
      <c r="G66" s="20"/>
      <c r="H66" s="20"/>
      <c r="I66" s="20"/>
      <c r="J66" s="20"/>
      <c r="K66" s="20"/>
      <c r="L66" s="20"/>
      <c r="M66" s="20"/>
      <c r="N66" s="20"/>
      <c r="O66" s="20"/>
      <c r="P66" s="20"/>
      <c r="Q66" s="20"/>
      <c r="R66" s="20"/>
      <c r="S66" s="36"/>
    </row>
    <row r="67" spans="1:19" x14ac:dyDescent="0.35">
      <c r="A67" s="35"/>
      <c r="B67" s="20"/>
      <c r="C67" s="20"/>
      <c r="D67" s="20"/>
      <c r="E67" s="20"/>
      <c r="F67" s="20"/>
      <c r="G67" s="20"/>
      <c r="H67" s="20"/>
      <c r="I67" s="20"/>
      <c r="J67" s="20"/>
      <c r="K67" s="20"/>
      <c r="L67" s="20"/>
      <c r="M67" s="20"/>
      <c r="N67" s="20"/>
      <c r="O67" s="20"/>
      <c r="P67" s="20"/>
      <c r="Q67" s="20"/>
      <c r="R67" s="20"/>
      <c r="S67" s="36"/>
    </row>
    <row r="68" spans="1:19" x14ac:dyDescent="0.35">
      <c r="A68" s="35"/>
      <c r="B68" s="20"/>
      <c r="C68" s="20"/>
      <c r="D68" s="20"/>
      <c r="E68" s="20"/>
      <c r="F68" s="20"/>
      <c r="G68" s="20"/>
      <c r="H68" s="20"/>
      <c r="I68" s="20"/>
      <c r="J68" s="20"/>
      <c r="K68" s="20"/>
      <c r="L68" s="20"/>
      <c r="M68" s="20"/>
      <c r="N68" s="20"/>
      <c r="O68" s="20"/>
      <c r="P68" s="20"/>
      <c r="Q68" s="20"/>
      <c r="R68" s="20"/>
      <c r="S68" s="36"/>
    </row>
    <row r="69" spans="1:19" x14ac:dyDescent="0.35">
      <c r="A69" s="35"/>
      <c r="B69" s="20"/>
      <c r="C69" s="20"/>
      <c r="D69" s="20"/>
      <c r="E69" s="20"/>
      <c r="F69" s="20"/>
      <c r="G69" s="20"/>
      <c r="H69" s="20"/>
      <c r="I69" s="20"/>
      <c r="J69" s="20"/>
      <c r="K69" s="20"/>
      <c r="L69" s="20"/>
      <c r="M69" s="20"/>
      <c r="N69" s="20"/>
      <c r="O69" s="20"/>
      <c r="P69" s="20"/>
      <c r="Q69" s="20"/>
      <c r="R69" s="20"/>
      <c r="S69" s="36"/>
    </row>
    <row r="70" spans="1:19" x14ac:dyDescent="0.35">
      <c r="A70" s="35"/>
      <c r="B70" s="20"/>
      <c r="C70" s="20"/>
      <c r="D70" s="20"/>
      <c r="E70" s="20"/>
      <c r="F70" s="20"/>
      <c r="G70" s="20"/>
      <c r="H70" s="20"/>
      <c r="I70" s="20"/>
      <c r="J70" s="20"/>
      <c r="K70" s="20"/>
      <c r="L70" s="20"/>
      <c r="M70" s="20"/>
      <c r="N70" s="20"/>
      <c r="O70" s="20"/>
      <c r="P70" s="20"/>
      <c r="Q70" s="20"/>
      <c r="R70" s="20"/>
      <c r="S70" s="36"/>
    </row>
    <row r="71" spans="1:19" x14ac:dyDescent="0.35">
      <c r="A71" s="35"/>
      <c r="B71" s="20"/>
      <c r="C71" s="20"/>
      <c r="D71" s="20"/>
      <c r="E71" s="20"/>
      <c r="F71" s="20"/>
      <c r="G71" s="20"/>
      <c r="H71" s="20"/>
      <c r="I71" s="20"/>
      <c r="J71" s="20"/>
      <c r="K71" s="20"/>
      <c r="L71" s="20"/>
      <c r="M71" s="20"/>
      <c r="N71" s="20"/>
      <c r="O71" s="20"/>
      <c r="P71" s="20"/>
      <c r="Q71" s="20"/>
      <c r="R71" s="20"/>
      <c r="S71" s="36"/>
    </row>
    <row r="72" spans="1:19" x14ac:dyDescent="0.35">
      <c r="A72" s="35"/>
      <c r="B72" s="20"/>
      <c r="C72" s="20"/>
      <c r="D72" s="20"/>
      <c r="E72" s="20"/>
      <c r="F72" s="20"/>
      <c r="G72" s="20"/>
      <c r="H72" s="20"/>
      <c r="I72" s="20"/>
      <c r="J72" s="20"/>
      <c r="K72" s="20"/>
      <c r="L72" s="20"/>
      <c r="M72" s="20"/>
      <c r="N72" s="20"/>
      <c r="O72" s="20"/>
      <c r="P72" s="20"/>
      <c r="Q72" s="20"/>
      <c r="R72" s="20"/>
      <c r="S72" s="36"/>
    </row>
    <row r="73" spans="1:19" x14ac:dyDescent="0.35">
      <c r="A73" s="35"/>
      <c r="B73" s="20"/>
      <c r="C73" s="20"/>
      <c r="D73" s="20"/>
      <c r="E73" s="20"/>
      <c r="F73" s="20"/>
      <c r="G73" s="20"/>
      <c r="H73" s="20"/>
      <c r="I73" s="20"/>
      <c r="J73" s="20"/>
      <c r="K73" s="20"/>
      <c r="L73" s="20"/>
      <c r="M73" s="20"/>
      <c r="N73" s="20"/>
      <c r="O73" s="20"/>
      <c r="P73" s="20"/>
      <c r="Q73" s="20"/>
      <c r="R73" s="20"/>
      <c r="S73" s="36"/>
    </row>
    <row r="74" spans="1:19" x14ac:dyDescent="0.35">
      <c r="A74" s="35"/>
      <c r="B74" s="20"/>
      <c r="C74" s="20"/>
      <c r="D74" s="20"/>
      <c r="E74" s="20"/>
      <c r="F74" s="20"/>
      <c r="G74" s="20"/>
      <c r="H74" s="20"/>
      <c r="I74" s="20"/>
      <c r="J74" s="20"/>
      <c r="K74" s="20"/>
      <c r="L74" s="20"/>
      <c r="M74" s="20"/>
      <c r="N74" s="20"/>
      <c r="O74" s="20"/>
      <c r="P74" s="20"/>
      <c r="Q74" s="20"/>
      <c r="R74" s="20"/>
      <c r="S74" s="36"/>
    </row>
    <row r="75" spans="1:19" x14ac:dyDescent="0.35">
      <c r="A75" s="35"/>
      <c r="B75" s="20"/>
      <c r="C75" s="20"/>
      <c r="D75" s="20"/>
      <c r="E75" s="20"/>
      <c r="F75" s="20"/>
      <c r="G75" s="20"/>
      <c r="H75" s="20"/>
      <c r="I75" s="20"/>
      <c r="J75" s="20"/>
      <c r="K75" s="20"/>
      <c r="L75" s="20"/>
      <c r="M75" s="20"/>
      <c r="N75" s="20"/>
      <c r="O75" s="20"/>
      <c r="P75" s="20"/>
      <c r="Q75" s="20"/>
      <c r="R75" s="20"/>
      <c r="S75" s="36"/>
    </row>
    <row r="76" spans="1:19" x14ac:dyDescent="0.35">
      <c r="A76" s="35"/>
      <c r="B76" s="20"/>
      <c r="C76" s="20"/>
      <c r="D76" s="20"/>
      <c r="E76" s="20"/>
      <c r="F76" s="20"/>
      <c r="G76" s="20"/>
      <c r="H76" s="20"/>
      <c r="I76" s="20"/>
      <c r="J76" s="20"/>
      <c r="K76" s="20"/>
      <c r="L76" s="20"/>
      <c r="M76" s="20"/>
      <c r="N76" s="20"/>
      <c r="O76" s="20"/>
      <c r="P76" s="20"/>
      <c r="Q76" s="20"/>
      <c r="R76" s="20"/>
      <c r="S76" s="36"/>
    </row>
    <row r="77" spans="1:19" x14ac:dyDescent="0.35">
      <c r="A77" s="35"/>
      <c r="B77" s="20"/>
      <c r="C77" s="20"/>
      <c r="D77" s="20"/>
      <c r="E77" s="20"/>
      <c r="F77" s="20"/>
      <c r="G77" s="20"/>
      <c r="H77" s="20"/>
      <c r="I77" s="20"/>
      <c r="J77" s="20"/>
      <c r="K77" s="20"/>
      <c r="L77" s="20"/>
      <c r="M77" s="20"/>
      <c r="N77" s="20"/>
      <c r="O77" s="20"/>
      <c r="P77" s="20"/>
      <c r="Q77" s="20"/>
      <c r="R77" s="20"/>
      <c r="S77" s="36"/>
    </row>
    <row r="78" spans="1:19" x14ac:dyDescent="0.35">
      <c r="A78" s="35"/>
      <c r="B78" s="20"/>
      <c r="C78" s="20"/>
      <c r="D78" s="20"/>
      <c r="E78" s="20"/>
      <c r="F78" s="20"/>
      <c r="G78" s="20"/>
      <c r="H78" s="20"/>
      <c r="I78" s="20"/>
      <c r="J78" s="20"/>
      <c r="K78" s="20"/>
      <c r="L78" s="20"/>
      <c r="M78" s="20"/>
      <c r="N78" s="20"/>
      <c r="O78" s="20"/>
      <c r="P78" s="20"/>
      <c r="Q78" s="20"/>
      <c r="R78" s="20"/>
      <c r="S78" s="36"/>
    </row>
    <row r="79" spans="1:19" x14ac:dyDescent="0.35">
      <c r="A79" s="35"/>
      <c r="B79" s="20"/>
      <c r="C79" s="20"/>
      <c r="D79" s="20"/>
      <c r="E79" s="20"/>
      <c r="F79" s="20"/>
      <c r="G79" s="20"/>
      <c r="H79" s="20"/>
      <c r="I79" s="20"/>
      <c r="J79" s="20"/>
      <c r="K79" s="20"/>
      <c r="L79" s="20"/>
      <c r="M79" s="20"/>
      <c r="N79" s="20"/>
      <c r="O79" s="20"/>
      <c r="P79" s="20"/>
      <c r="Q79" s="20"/>
      <c r="R79" s="20"/>
      <c r="S79" s="36"/>
    </row>
    <row r="80" spans="1:19" x14ac:dyDescent="0.35">
      <c r="A80" s="35"/>
      <c r="B80" s="20"/>
      <c r="C80" s="20"/>
      <c r="D80" s="20"/>
      <c r="E80" s="20"/>
      <c r="F80" s="20"/>
      <c r="G80" s="20"/>
      <c r="H80" s="20"/>
      <c r="I80" s="20"/>
      <c r="J80" s="20"/>
      <c r="K80" s="20"/>
      <c r="L80" s="20"/>
      <c r="M80" s="20"/>
      <c r="N80" s="20"/>
      <c r="O80" s="20"/>
      <c r="P80" s="20"/>
      <c r="Q80" s="20"/>
      <c r="R80" s="20"/>
      <c r="S80" s="36"/>
    </row>
    <row r="81" spans="1:19" x14ac:dyDescent="0.35">
      <c r="A81" s="35"/>
      <c r="B81" s="20"/>
      <c r="C81" s="20"/>
      <c r="D81" s="20"/>
      <c r="E81" s="20"/>
      <c r="F81" s="20"/>
      <c r="G81" s="20"/>
      <c r="H81" s="20"/>
      <c r="I81" s="20"/>
      <c r="J81" s="20"/>
      <c r="K81" s="20"/>
      <c r="L81" s="20"/>
      <c r="M81" s="20"/>
      <c r="N81" s="20"/>
      <c r="O81" s="20"/>
      <c r="P81" s="20"/>
      <c r="Q81" s="20"/>
      <c r="R81" s="20"/>
      <c r="S81" s="36"/>
    </row>
    <row r="82" spans="1:19" x14ac:dyDescent="0.35">
      <c r="A82" s="35"/>
      <c r="B82" s="20"/>
      <c r="C82" s="20"/>
      <c r="D82" s="20"/>
      <c r="E82" s="20"/>
      <c r="F82" s="20"/>
      <c r="G82" s="20"/>
      <c r="H82" s="20"/>
      <c r="I82" s="20"/>
      <c r="J82" s="20"/>
      <c r="K82" s="20"/>
      <c r="L82" s="20"/>
      <c r="M82" s="20"/>
      <c r="N82" s="20"/>
      <c r="O82" s="20"/>
      <c r="P82" s="20"/>
      <c r="Q82" s="20"/>
      <c r="R82" s="20"/>
      <c r="S82" s="36"/>
    </row>
    <row r="83" spans="1:19" x14ac:dyDescent="0.35">
      <c r="A83" s="35"/>
      <c r="B83" s="20"/>
      <c r="C83" s="20"/>
      <c r="D83" s="20"/>
      <c r="E83" s="20"/>
      <c r="F83" s="20"/>
      <c r="G83" s="20"/>
      <c r="H83" s="20"/>
      <c r="I83" s="20"/>
      <c r="J83" s="20"/>
      <c r="K83" s="20"/>
      <c r="L83" s="20"/>
      <c r="M83" s="20"/>
      <c r="N83" s="20"/>
      <c r="O83" s="20"/>
      <c r="P83" s="20"/>
      <c r="Q83" s="20"/>
      <c r="R83" s="20"/>
      <c r="S83" s="36"/>
    </row>
    <row r="84" spans="1:19" x14ac:dyDescent="0.35">
      <c r="A84" s="35"/>
      <c r="B84" s="20"/>
      <c r="C84" s="20"/>
      <c r="D84" s="20"/>
      <c r="E84" s="20"/>
      <c r="F84" s="20"/>
      <c r="G84" s="20"/>
      <c r="H84" s="20"/>
      <c r="I84" s="20"/>
      <c r="J84" s="20"/>
      <c r="K84" s="20"/>
      <c r="L84" s="20"/>
      <c r="M84" s="20"/>
      <c r="N84" s="20"/>
      <c r="O84" s="20"/>
      <c r="P84" s="20"/>
      <c r="Q84" s="20"/>
      <c r="R84" s="20"/>
      <c r="S84" s="36"/>
    </row>
    <row r="85" spans="1:19" x14ac:dyDescent="0.35">
      <c r="A85" s="35"/>
      <c r="B85" s="20"/>
      <c r="C85" s="20"/>
      <c r="D85" s="20"/>
      <c r="E85" s="20"/>
      <c r="F85" s="20"/>
      <c r="G85" s="20"/>
      <c r="H85" s="20"/>
      <c r="I85" s="20"/>
      <c r="J85" s="20"/>
      <c r="K85" s="20"/>
      <c r="L85" s="20"/>
      <c r="M85" s="20"/>
      <c r="N85" s="20"/>
      <c r="O85" s="20"/>
      <c r="P85" s="20"/>
      <c r="Q85" s="20"/>
      <c r="R85" s="20"/>
      <c r="S85" s="36"/>
    </row>
    <row r="86" spans="1:19" x14ac:dyDescent="0.35">
      <c r="A86" s="35"/>
      <c r="B86" s="20"/>
      <c r="C86" s="20"/>
      <c r="D86" s="20"/>
      <c r="E86" s="20"/>
      <c r="F86" s="20"/>
      <c r="G86" s="20"/>
      <c r="H86" s="20"/>
      <c r="I86" s="20"/>
      <c r="J86" s="20"/>
      <c r="K86" s="20"/>
      <c r="L86" s="20"/>
      <c r="M86" s="20"/>
      <c r="N86" s="20"/>
      <c r="O86" s="20"/>
      <c r="P86" s="20"/>
      <c r="Q86" s="20"/>
      <c r="R86" s="20"/>
      <c r="S86" s="36"/>
    </row>
    <row r="87" spans="1:19" x14ac:dyDescent="0.35">
      <c r="A87" s="35"/>
      <c r="B87" s="20"/>
      <c r="C87" s="20"/>
      <c r="D87" s="20"/>
      <c r="E87" s="20"/>
      <c r="F87" s="20"/>
      <c r="G87" s="20"/>
      <c r="H87" s="20"/>
      <c r="I87" s="20"/>
      <c r="J87" s="20"/>
      <c r="K87" s="20"/>
      <c r="L87" s="20"/>
      <c r="M87" s="20"/>
      <c r="N87" s="20"/>
      <c r="O87" s="20"/>
      <c r="P87" s="20"/>
      <c r="Q87" s="20"/>
      <c r="R87" s="20"/>
      <c r="S87" s="36"/>
    </row>
    <row r="88" spans="1:19" x14ac:dyDescent="0.35">
      <c r="A88" s="35"/>
      <c r="B88" s="20"/>
      <c r="C88" s="20"/>
      <c r="D88" s="20"/>
      <c r="E88" s="20"/>
      <c r="F88" s="20"/>
      <c r="G88" s="20"/>
      <c r="H88" s="20"/>
      <c r="I88" s="20"/>
      <c r="J88" s="20"/>
      <c r="K88" s="20"/>
      <c r="L88" s="20"/>
      <c r="M88" s="20"/>
      <c r="N88" s="20"/>
      <c r="O88" s="20"/>
      <c r="P88" s="20"/>
      <c r="Q88" s="20"/>
      <c r="R88" s="20"/>
      <c r="S88" s="36"/>
    </row>
    <row r="89" spans="1:19" x14ac:dyDescent="0.35">
      <c r="A89" s="35"/>
      <c r="B89" s="20"/>
      <c r="C89" s="20"/>
      <c r="D89" s="20"/>
      <c r="E89" s="20"/>
      <c r="F89" s="20"/>
      <c r="G89" s="20"/>
      <c r="H89" s="20"/>
      <c r="I89" s="20"/>
      <c r="J89" s="20"/>
      <c r="K89" s="20"/>
      <c r="L89" s="20"/>
      <c r="M89" s="20"/>
      <c r="N89" s="20"/>
      <c r="O89" s="20"/>
      <c r="P89" s="20"/>
      <c r="Q89" s="20"/>
      <c r="R89" s="20"/>
      <c r="S89" s="36"/>
    </row>
    <row r="90" spans="1:19" x14ac:dyDescent="0.35">
      <c r="A90" s="35"/>
      <c r="B90" s="20"/>
      <c r="C90" s="20"/>
      <c r="D90" s="20"/>
      <c r="E90" s="20"/>
      <c r="F90" s="20"/>
      <c r="G90" s="20"/>
      <c r="H90" s="20"/>
      <c r="I90" s="20"/>
      <c r="J90" s="20"/>
      <c r="K90" s="20"/>
      <c r="L90" s="20"/>
      <c r="M90" s="20"/>
      <c r="N90" s="20"/>
      <c r="O90" s="20"/>
      <c r="P90" s="20"/>
      <c r="Q90" s="20"/>
      <c r="R90" s="20"/>
      <c r="S90" s="36"/>
    </row>
    <row r="91" spans="1:19" x14ac:dyDescent="0.35">
      <c r="A91" s="35"/>
      <c r="B91" s="20"/>
      <c r="C91" s="20"/>
      <c r="D91" s="20"/>
      <c r="E91" s="20"/>
      <c r="F91" s="20"/>
      <c r="G91" s="20"/>
      <c r="H91" s="20"/>
      <c r="I91" s="20"/>
      <c r="J91" s="20"/>
      <c r="K91" s="20"/>
      <c r="L91" s="20"/>
      <c r="M91" s="20"/>
      <c r="N91" s="20"/>
      <c r="O91" s="20"/>
      <c r="P91" s="20"/>
      <c r="Q91" s="20"/>
      <c r="R91" s="20"/>
      <c r="S91" s="36"/>
    </row>
    <row r="92" spans="1:19" x14ac:dyDescent="0.35">
      <c r="A92" s="35"/>
      <c r="B92" s="20"/>
      <c r="C92" s="20"/>
      <c r="D92" s="20"/>
      <c r="E92" s="20"/>
      <c r="F92" s="20"/>
      <c r="G92" s="20"/>
      <c r="H92" s="20"/>
      <c r="I92" s="20"/>
      <c r="J92" s="20"/>
      <c r="K92" s="20"/>
      <c r="L92" s="20"/>
      <c r="M92" s="20"/>
      <c r="N92" s="20"/>
      <c r="O92" s="20"/>
      <c r="P92" s="20"/>
      <c r="Q92" s="20"/>
      <c r="R92" s="20"/>
      <c r="S92" s="36"/>
    </row>
    <row r="93" spans="1:19" x14ac:dyDescent="0.35">
      <c r="A93" s="35"/>
      <c r="B93" s="20"/>
      <c r="C93" s="20"/>
      <c r="D93" s="20"/>
      <c r="E93" s="20"/>
      <c r="F93" s="20"/>
      <c r="G93" s="20"/>
      <c r="H93" s="20"/>
      <c r="I93" s="20"/>
      <c r="J93" s="20"/>
      <c r="K93" s="20"/>
      <c r="L93" s="20"/>
      <c r="M93" s="20"/>
      <c r="N93" s="20"/>
      <c r="O93" s="20"/>
      <c r="P93" s="20"/>
      <c r="Q93" s="20"/>
      <c r="R93" s="20"/>
      <c r="S93" s="36"/>
    </row>
    <row r="94" spans="1:19" x14ac:dyDescent="0.35">
      <c r="A94" s="35"/>
      <c r="B94" s="20"/>
      <c r="C94" s="20"/>
      <c r="D94" s="20"/>
      <c r="E94" s="20"/>
      <c r="F94" s="20"/>
      <c r="G94" s="20"/>
      <c r="H94" s="20"/>
      <c r="I94" s="20"/>
      <c r="J94" s="20"/>
      <c r="K94" s="20"/>
      <c r="L94" s="20"/>
      <c r="M94" s="20"/>
      <c r="N94" s="20"/>
      <c r="O94" s="20"/>
      <c r="P94" s="20"/>
      <c r="Q94" s="20"/>
      <c r="R94" s="20"/>
      <c r="S94" s="36"/>
    </row>
    <row r="95" spans="1:19" x14ac:dyDescent="0.35">
      <c r="A95" s="35"/>
      <c r="B95" s="20"/>
      <c r="C95" s="20"/>
      <c r="D95" s="20"/>
      <c r="E95" s="20"/>
      <c r="F95" s="20"/>
      <c r="G95" s="20"/>
      <c r="H95" s="20"/>
      <c r="I95" s="20"/>
      <c r="J95" s="20"/>
      <c r="K95" s="20"/>
      <c r="L95" s="20"/>
      <c r="M95" s="20"/>
      <c r="N95" s="20"/>
      <c r="O95" s="20"/>
      <c r="P95" s="20"/>
      <c r="Q95" s="20"/>
      <c r="R95" s="20"/>
      <c r="S95" s="36"/>
    </row>
    <row r="96" spans="1:19" x14ac:dyDescent="0.35">
      <c r="A96" s="35"/>
      <c r="B96" s="20"/>
      <c r="C96" s="20"/>
      <c r="D96" s="20"/>
      <c r="E96" s="20"/>
      <c r="F96" s="20"/>
      <c r="G96" s="20"/>
      <c r="H96" s="20"/>
      <c r="I96" s="20"/>
      <c r="J96" s="20"/>
      <c r="K96" s="20"/>
      <c r="L96" s="20"/>
      <c r="M96" s="20"/>
      <c r="N96" s="20"/>
      <c r="O96" s="20"/>
      <c r="P96" s="20"/>
      <c r="Q96" s="20"/>
      <c r="R96" s="20"/>
      <c r="S96" s="36"/>
    </row>
    <row r="97" spans="1:19" x14ac:dyDescent="0.35">
      <c r="A97" s="35"/>
      <c r="B97" s="20"/>
      <c r="C97" s="20"/>
      <c r="D97" s="20"/>
      <c r="E97" s="20"/>
      <c r="F97" s="20"/>
      <c r="G97" s="20"/>
      <c r="H97" s="20"/>
      <c r="I97" s="20"/>
      <c r="J97" s="20"/>
      <c r="K97" s="20"/>
      <c r="L97" s="20"/>
      <c r="M97" s="20"/>
      <c r="N97" s="20"/>
      <c r="O97" s="20"/>
      <c r="P97" s="20"/>
      <c r="Q97" s="20"/>
      <c r="R97" s="20"/>
      <c r="S97" s="36"/>
    </row>
    <row r="98" spans="1:19" x14ac:dyDescent="0.35">
      <c r="A98" s="35"/>
      <c r="B98" s="20"/>
      <c r="C98" s="20"/>
      <c r="D98" s="20"/>
      <c r="E98" s="20"/>
      <c r="F98" s="20"/>
      <c r="G98" s="20"/>
      <c r="H98" s="20"/>
      <c r="I98" s="20"/>
      <c r="J98" s="20"/>
      <c r="K98" s="20"/>
      <c r="L98" s="20"/>
      <c r="M98" s="20"/>
      <c r="N98" s="20"/>
      <c r="O98" s="20"/>
      <c r="P98" s="20"/>
      <c r="Q98" s="20"/>
      <c r="R98" s="20"/>
      <c r="S98" s="36"/>
    </row>
    <row r="99" spans="1:19" x14ac:dyDescent="0.35">
      <c r="A99" s="35"/>
      <c r="B99" s="20"/>
      <c r="C99" s="20"/>
      <c r="D99" s="20"/>
      <c r="E99" s="20"/>
      <c r="F99" s="20"/>
      <c r="G99" s="20"/>
      <c r="H99" s="20"/>
      <c r="I99" s="20"/>
      <c r="J99" s="20"/>
      <c r="K99" s="20"/>
      <c r="L99" s="20"/>
      <c r="M99" s="20"/>
      <c r="N99" s="20"/>
      <c r="O99" s="20"/>
      <c r="P99" s="20"/>
      <c r="Q99" s="20"/>
      <c r="R99" s="20"/>
      <c r="S99" s="36"/>
    </row>
    <row r="100" spans="1:19" x14ac:dyDescent="0.35">
      <c r="A100" s="35"/>
      <c r="B100" s="20"/>
      <c r="C100" s="20"/>
      <c r="D100" s="20"/>
      <c r="E100" s="20"/>
      <c r="F100" s="20"/>
      <c r="G100" s="20"/>
      <c r="H100" s="20"/>
      <c r="I100" s="20"/>
      <c r="J100" s="20"/>
      <c r="K100" s="20"/>
      <c r="L100" s="20"/>
      <c r="M100" s="20"/>
      <c r="N100" s="20"/>
      <c r="O100" s="20"/>
      <c r="P100" s="20"/>
      <c r="Q100" s="20"/>
      <c r="R100" s="20"/>
      <c r="S100" s="36"/>
    </row>
    <row r="101" spans="1:19" x14ac:dyDescent="0.35">
      <c r="A101" s="35"/>
      <c r="B101" s="20"/>
      <c r="C101" s="20"/>
      <c r="D101" s="20"/>
      <c r="E101" s="20"/>
      <c r="F101" s="20"/>
      <c r="G101" s="20"/>
      <c r="H101" s="20"/>
      <c r="I101" s="20"/>
      <c r="J101" s="20"/>
      <c r="K101" s="20"/>
      <c r="L101" s="20"/>
      <c r="M101" s="20"/>
      <c r="N101" s="20"/>
      <c r="O101" s="20"/>
      <c r="P101" s="20"/>
      <c r="Q101" s="20"/>
      <c r="R101" s="20"/>
      <c r="S101" s="36"/>
    </row>
    <row r="102" spans="1:19" ht="15" thickBot="1" x14ac:dyDescent="0.4">
      <c r="A102" s="42"/>
      <c r="B102" s="19"/>
      <c r="C102" s="19"/>
      <c r="D102" s="19"/>
      <c r="E102" s="19"/>
      <c r="F102" s="19"/>
      <c r="G102" s="19"/>
      <c r="H102" s="19"/>
      <c r="I102" s="19"/>
      <c r="J102" s="19"/>
      <c r="K102" s="19"/>
      <c r="L102" s="19"/>
      <c r="M102" s="19"/>
      <c r="N102" s="19"/>
      <c r="O102" s="19"/>
      <c r="P102" s="19"/>
      <c r="Q102" s="19"/>
      <c r="R102" s="19"/>
      <c r="S102" s="43"/>
    </row>
    <row r="103" spans="1:19" x14ac:dyDescent="0.35">
      <c r="A103" s="35"/>
      <c r="B103" s="20"/>
      <c r="C103" s="20"/>
      <c r="D103" s="20"/>
      <c r="E103" s="20"/>
      <c r="F103" s="20"/>
      <c r="G103" s="20"/>
      <c r="H103" s="20"/>
      <c r="I103" s="20"/>
      <c r="J103" s="20"/>
      <c r="K103" s="20"/>
      <c r="L103" s="20"/>
      <c r="M103" s="20"/>
      <c r="N103" s="20"/>
      <c r="O103" s="20"/>
      <c r="P103" s="20"/>
      <c r="Q103" s="20"/>
      <c r="R103" s="20"/>
      <c r="S103" s="36"/>
    </row>
    <row r="104" spans="1:19" ht="20" x14ac:dyDescent="0.35">
      <c r="A104" s="35"/>
      <c r="B104" s="45" t="s">
        <v>1265</v>
      </c>
      <c r="C104" s="45"/>
      <c r="D104" s="20"/>
      <c r="E104" s="41"/>
      <c r="F104" s="20"/>
      <c r="G104" s="20"/>
      <c r="H104" s="20"/>
      <c r="I104" s="20"/>
      <c r="J104" s="20"/>
      <c r="K104" s="20"/>
      <c r="L104" s="20"/>
      <c r="M104" s="20"/>
      <c r="N104" s="20"/>
      <c r="O104" s="20"/>
      <c r="P104" s="20"/>
      <c r="Q104" s="20"/>
      <c r="R104" s="20"/>
      <c r="S104" s="36"/>
    </row>
    <row r="105" spans="1:19" ht="15" thickBot="1" x14ac:dyDescent="0.4">
      <c r="A105" s="35"/>
      <c r="B105" s="44"/>
      <c r="C105" s="20"/>
      <c r="D105" s="20"/>
      <c r="E105" s="41"/>
      <c r="F105" s="20"/>
      <c r="G105" s="20"/>
      <c r="H105" s="20"/>
      <c r="I105" s="20"/>
      <c r="J105" s="20"/>
      <c r="K105" s="20"/>
      <c r="L105" s="20"/>
      <c r="M105" s="20"/>
      <c r="N105" s="20"/>
      <c r="O105" s="20"/>
      <c r="P105" s="20"/>
      <c r="Q105" s="20"/>
      <c r="R105" s="20"/>
      <c r="S105" s="36"/>
    </row>
    <row r="106" spans="1:19" ht="15" thickTop="1" x14ac:dyDescent="0.35">
      <c r="A106" s="35"/>
      <c r="B106" s="56" t="s">
        <v>1266</v>
      </c>
      <c r="C106" s="57"/>
      <c r="D106" s="57"/>
      <c r="E106" s="57"/>
      <c r="F106" s="58"/>
      <c r="G106" s="20"/>
      <c r="H106" s="59" t="s">
        <v>1267</v>
      </c>
      <c r="I106" s="60"/>
      <c r="J106" s="60"/>
      <c r="K106" s="60"/>
      <c r="L106" s="61"/>
      <c r="M106" s="20"/>
      <c r="N106" s="62" t="s">
        <v>1268</v>
      </c>
      <c r="O106" s="63"/>
      <c r="P106" s="63"/>
      <c r="Q106" s="63"/>
      <c r="R106" s="64"/>
      <c r="S106" s="36"/>
    </row>
    <row r="107" spans="1:19" ht="14.5" customHeight="1" x14ac:dyDescent="0.35">
      <c r="A107" s="35"/>
      <c r="B107" s="46" t="s">
        <v>1272</v>
      </c>
      <c r="C107" s="46"/>
      <c r="D107" s="46"/>
      <c r="E107" s="46"/>
      <c r="F107" s="46"/>
      <c r="G107" s="20"/>
      <c r="H107" s="46" t="s">
        <v>1276</v>
      </c>
      <c r="I107" s="46"/>
      <c r="J107" s="46"/>
      <c r="K107" s="46"/>
      <c r="L107" s="46"/>
      <c r="M107" s="20"/>
      <c r="N107" s="46" t="s">
        <v>1273</v>
      </c>
      <c r="O107" s="46"/>
      <c r="P107" s="46"/>
      <c r="Q107" s="46"/>
      <c r="R107" s="46"/>
      <c r="S107" s="36"/>
    </row>
    <row r="108" spans="1:19" x14ac:dyDescent="0.35">
      <c r="A108" s="35"/>
      <c r="B108" s="46"/>
      <c r="C108" s="46"/>
      <c r="D108" s="46"/>
      <c r="E108" s="46"/>
      <c r="F108" s="46"/>
      <c r="G108" s="20"/>
      <c r="H108" s="46"/>
      <c r="I108" s="46"/>
      <c r="J108" s="46"/>
      <c r="K108" s="46"/>
      <c r="L108" s="46"/>
      <c r="M108" s="20"/>
      <c r="N108" s="46"/>
      <c r="O108" s="46"/>
      <c r="P108" s="46"/>
      <c r="Q108" s="46"/>
      <c r="R108" s="46"/>
      <c r="S108" s="36"/>
    </row>
    <row r="109" spans="1:19" ht="15" thickBot="1" x14ac:dyDescent="0.4">
      <c r="A109" s="35"/>
      <c r="B109" s="20"/>
      <c r="C109" s="20"/>
      <c r="D109" s="20"/>
      <c r="E109" s="20"/>
      <c r="F109" s="20"/>
      <c r="G109" s="20"/>
      <c r="H109" s="20"/>
      <c r="I109" s="20"/>
      <c r="J109" s="20"/>
      <c r="K109" s="20"/>
      <c r="L109" s="20"/>
      <c r="M109" s="20"/>
      <c r="N109" s="20"/>
      <c r="O109" s="20"/>
      <c r="P109" s="20"/>
      <c r="Q109" s="20"/>
      <c r="R109" s="20"/>
      <c r="S109" s="36"/>
    </row>
    <row r="110" spans="1:19" ht="15" thickTop="1" x14ac:dyDescent="0.35">
      <c r="A110" s="35"/>
      <c r="B110" s="47" t="s">
        <v>1269</v>
      </c>
      <c r="C110" s="48"/>
      <c r="D110" s="48"/>
      <c r="E110" s="48"/>
      <c r="F110" s="49"/>
      <c r="G110" s="20"/>
      <c r="H110" s="50" t="s">
        <v>1270</v>
      </c>
      <c r="I110" s="51"/>
      <c r="J110" s="51"/>
      <c r="K110" s="51"/>
      <c r="L110" s="52"/>
      <c r="M110" s="20"/>
      <c r="N110" s="53" t="s">
        <v>1271</v>
      </c>
      <c r="O110" s="54"/>
      <c r="P110" s="54"/>
      <c r="Q110" s="54"/>
      <c r="R110" s="55"/>
      <c r="S110" s="36"/>
    </row>
    <row r="111" spans="1:19" ht="14.5" customHeight="1" x14ac:dyDescent="0.35">
      <c r="A111" s="35"/>
      <c r="B111" s="46" t="s">
        <v>1274</v>
      </c>
      <c r="C111" s="46"/>
      <c r="D111" s="46"/>
      <c r="E111" s="46"/>
      <c r="F111" s="46"/>
      <c r="G111" s="20"/>
      <c r="H111" s="46" t="s">
        <v>1275</v>
      </c>
      <c r="I111" s="46"/>
      <c r="J111" s="46"/>
      <c r="K111" s="46"/>
      <c r="L111" s="46"/>
      <c r="M111" s="20"/>
      <c r="N111" s="46" t="s">
        <v>1277</v>
      </c>
      <c r="O111" s="46"/>
      <c r="P111" s="46"/>
      <c r="Q111" s="46"/>
      <c r="R111" s="46"/>
      <c r="S111" s="36"/>
    </row>
    <row r="112" spans="1:19" x14ac:dyDescent="0.35">
      <c r="A112" s="35"/>
      <c r="B112" s="46"/>
      <c r="C112" s="46"/>
      <c r="D112" s="46"/>
      <c r="E112" s="46"/>
      <c r="F112" s="46"/>
      <c r="G112" s="20"/>
      <c r="H112" s="46"/>
      <c r="I112" s="46"/>
      <c r="J112" s="46"/>
      <c r="K112" s="46"/>
      <c r="L112" s="46"/>
      <c r="M112" s="20"/>
      <c r="N112" s="46"/>
      <c r="O112" s="46"/>
      <c r="P112" s="46"/>
      <c r="Q112" s="46"/>
      <c r="R112" s="46"/>
      <c r="S112" s="36"/>
    </row>
    <row r="113" spans="1:19" ht="15" thickBot="1" x14ac:dyDescent="0.4">
      <c r="A113" s="42"/>
      <c r="B113" s="19"/>
      <c r="C113" s="19"/>
      <c r="D113" s="19"/>
      <c r="E113" s="19"/>
      <c r="F113" s="19"/>
      <c r="G113" s="19"/>
      <c r="H113" s="19"/>
      <c r="I113" s="19"/>
      <c r="J113" s="19"/>
      <c r="K113" s="19"/>
      <c r="L113" s="19"/>
      <c r="M113" s="19"/>
      <c r="N113" s="19"/>
      <c r="O113" s="19"/>
      <c r="P113" s="19"/>
      <c r="Q113" s="19"/>
      <c r="R113" s="19"/>
      <c r="S113" s="43"/>
    </row>
  </sheetData>
  <mergeCells count="27">
    <mergeCell ref="B2:L2"/>
    <mergeCell ref="B7:C7"/>
    <mergeCell ref="E7:F7"/>
    <mergeCell ref="H7:I7"/>
    <mergeCell ref="K7:L7"/>
    <mergeCell ref="B3:M3"/>
    <mergeCell ref="N7:O7"/>
    <mergeCell ref="Q7:R7"/>
    <mergeCell ref="B8:C8"/>
    <mergeCell ref="E8:F8"/>
    <mergeCell ref="H8:I8"/>
    <mergeCell ref="K8:L8"/>
    <mergeCell ref="N8:O8"/>
    <mergeCell ref="Q8:R8"/>
    <mergeCell ref="B104:C104"/>
    <mergeCell ref="B107:F108"/>
    <mergeCell ref="B111:F112"/>
    <mergeCell ref="H107:L108"/>
    <mergeCell ref="N107:R108"/>
    <mergeCell ref="H111:L112"/>
    <mergeCell ref="N111:R112"/>
    <mergeCell ref="B110:F110"/>
    <mergeCell ref="H110:L110"/>
    <mergeCell ref="N110:R110"/>
    <mergeCell ref="B106:F106"/>
    <mergeCell ref="H106:L106"/>
    <mergeCell ref="N106:R10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Donga</dc:creator>
  <cp:lastModifiedBy>Ayush Donga</cp:lastModifiedBy>
  <dcterms:created xsi:type="dcterms:W3CDTF">2026-10-15T13:00:34Z</dcterms:created>
  <dcterms:modified xsi:type="dcterms:W3CDTF">2026-10-17T09:38:16Z</dcterms:modified>
</cp:coreProperties>
</file>